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istrator\Desktop\MEDICARPEZ\LISTAS DE PRECIO\"/>
    </mc:Choice>
  </mc:AlternateContent>
  <xr:revisionPtr revIDLastSave="0" documentId="13_ncr:1_{35EBB2F5-3B63-4343-A921-48DA951A0DC8}" xr6:coauthVersionLast="47" xr6:coauthVersionMax="47" xr10:uidLastSave="{00000000-0000-0000-0000-000000000000}"/>
  <bookViews>
    <workbookView xWindow="-120" yWindow="-120" windowWidth="29040" windowHeight="15840" tabRatio="500" xr2:uid="{00000000-000D-0000-FFFF-FFFF00000000}"/>
  </bookViews>
  <sheets>
    <sheet name="Sheet1" sheetId="1" r:id="rId1"/>
    <sheet name="Hoja1" sheetId="2" r:id="rId2"/>
  </sheets>
  <definedNames>
    <definedName name="_xlnm._FilterDatabase" localSheetId="0" hidden="1">Sheet1!$A$17:$H$462</definedName>
    <definedName name="_xlnm.Print_Area" localSheetId="0">Sheet1!$A$1:$H$456</definedName>
  </definedNames>
  <calcPr calcId="191029"/>
</workbook>
</file>

<file path=xl/calcChain.xml><?xml version="1.0" encoding="utf-8"?>
<calcChain xmlns="http://schemas.openxmlformats.org/spreadsheetml/2006/main">
  <c r="H195" i="1" l="1"/>
  <c r="H199" i="1"/>
  <c r="H339" i="1"/>
  <c r="H159" i="1"/>
  <c r="H430" i="1"/>
  <c r="H75" i="1"/>
  <c r="H20" i="1" l="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6" i="1"/>
  <c r="H77" i="1"/>
  <c r="H78" i="1"/>
  <c r="H79" i="1"/>
  <c r="H80" i="1"/>
  <c r="H81"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9"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40" i="1"/>
  <c r="H141" i="1"/>
  <c r="H142" i="1"/>
  <c r="H143" i="1"/>
  <c r="H144" i="1"/>
  <c r="H145" i="1"/>
  <c r="H146" i="1"/>
  <c r="H147" i="1"/>
  <c r="H148" i="1"/>
  <c r="H149" i="1"/>
  <c r="H150" i="1"/>
  <c r="H151" i="1"/>
  <c r="H152" i="1"/>
  <c r="H435" i="1"/>
  <c r="H436" i="1"/>
  <c r="H437" i="1"/>
  <c r="H438" i="1"/>
  <c r="H439" i="1"/>
  <c r="H440" i="1"/>
  <c r="H441" i="1"/>
  <c r="H442" i="1"/>
  <c r="H443" i="1"/>
  <c r="H444" i="1"/>
  <c r="H445" i="1"/>
  <c r="H446" i="1"/>
  <c r="H447" i="1"/>
  <c r="H448" i="1"/>
  <c r="H153" i="1"/>
  <c r="H154" i="1"/>
  <c r="H155" i="1"/>
  <c r="H156" i="1"/>
  <c r="H157" i="1"/>
  <c r="H158"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6" i="1"/>
  <c r="H206" i="1"/>
  <c r="H207" i="1"/>
  <c r="H208" i="1"/>
  <c r="H204" i="1"/>
  <c r="H228" i="1"/>
  <c r="H299" i="1"/>
  <c r="H335" i="1"/>
  <c r="H336" i="1"/>
  <c r="H394" i="1"/>
  <c r="H398" i="1"/>
  <c r="H407" i="1"/>
  <c r="H209" i="1"/>
  <c r="H210" i="1"/>
  <c r="H211" i="1"/>
  <c r="H212" i="1"/>
  <c r="H213" i="1"/>
  <c r="H214" i="1"/>
  <c r="H215" i="1"/>
  <c r="H216" i="1"/>
  <c r="H217" i="1"/>
  <c r="H218" i="1"/>
  <c r="H219" i="1"/>
  <c r="H220" i="1"/>
  <c r="H221" i="1"/>
  <c r="H222" i="1"/>
  <c r="H223" i="1"/>
  <c r="H224" i="1"/>
  <c r="H225" i="1"/>
  <c r="H226" i="1"/>
  <c r="H227" i="1"/>
  <c r="H229" i="1"/>
  <c r="H230" i="1"/>
  <c r="H231" i="1"/>
  <c r="H197" i="1" l="1"/>
  <c r="H198" i="1"/>
  <c r="H200" i="1"/>
  <c r="H201" i="1"/>
  <c r="H202" i="1"/>
  <c r="H203" i="1"/>
  <c r="H205" i="1"/>
  <c r="H232" i="1"/>
  <c r="H233" i="1"/>
  <c r="H234" i="1"/>
  <c r="H235" i="1"/>
  <c r="H236" i="1"/>
  <c r="H237" i="1"/>
  <c r="H238" i="1"/>
  <c r="H243" i="1" l="1"/>
  <c r="H244" i="1"/>
  <c r="H429" i="1"/>
  <c r="H362" i="1"/>
  <c r="H240" i="1"/>
  <c r="H245" i="1"/>
  <c r="H246" i="1"/>
  <c r="H247" i="1"/>
  <c r="H239" i="1" l="1"/>
  <c r="H241" i="1"/>
  <c r="H242"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7" i="1"/>
  <c r="H338" i="1"/>
  <c r="H340" i="1"/>
  <c r="H341" i="1"/>
  <c r="H342" i="1"/>
  <c r="H343" i="1"/>
  <c r="H344" i="1"/>
  <c r="H345" i="1"/>
  <c r="H346" i="1"/>
  <c r="H347" i="1"/>
  <c r="H348" i="1"/>
  <c r="H349" i="1"/>
  <c r="H350" i="1"/>
  <c r="H351" i="1"/>
  <c r="H352" i="1"/>
  <c r="H353" i="1"/>
  <c r="H354" i="1"/>
  <c r="H355" i="1"/>
  <c r="H356" i="1"/>
  <c r="H357" i="1"/>
  <c r="H358" i="1"/>
  <c r="H359" i="1"/>
  <c r="H360" i="1"/>
  <c r="H361"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5" i="1"/>
  <c r="H396" i="1"/>
  <c r="H397" i="1"/>
  <c r="H399" i="1"/>
  <c r="H400" i="1"/>
  <c r="H401" i="1"/>
  <c r="H402" i="1"/>
  <c r="H403" i="1"/>
  <c r="H404" i="1"/>
  <c r="H405" i="1"/>
  <c r="H406" i="1"/>
  <c r="H408" i="1"/>
  <c r="H409" i="1"/>
  <c r="H410" i="1"/>
  <c r="H411" i="1"/>
  <c r="H412" i="1"/>
  <c r="H413" i="1"/>
  <c r="H414" i="1"/>
  <c r="H415" i="1"/>
  <c r="H416" i="1"/>
  <c r="H417" i="1"/>
  <c r="H418" i="1"/>
  <c r="H419" i="1"/>
  <c r="H420" i="1"/>
  <c r="H421" i="1"/>
  <c r="H422" i="1"/>
  <c r="H423" i="1"/>
  <c r="H424" i="1"/>
  <c r="H425" i="1"/>
  <c r="H426" i="1"/>
  <c r="H427" i="1"/>
  <c r="H428" i="1"/>
  <c r="H431" i="1"/>
  <c r="H432" i="1"/>
  <c r="H433" i="1"/>
  <c r="H434" i="1"/>
  <c r="H18" i="1"/>
  <c r="H449" i="1" l="1"/>
  <c r="G11" i="1" s="1"/>
  <c r="G13" i="1" s="1"/>
  <c r="G14" i="1" l="1"/>
</calcChain>
</file>

<file path=xl/sharedStrings.xml><?xml version="1.0" encoding="utf-8"?>
<sst xmlns="http://schemas.openxmlformats.org/spreadsheetml/2006/main" count="2180" uniqueCount="1031">
  <si>
    <t>FECHA DE VENC</t>
  </si>
  <si>
    <t>MARCA</t>
  </si>
  <si>
    <t>PRECIO REF.</t>
  </si>
  <si>
    <t xml:space="preserve">Tasa Banco Central de Venezuela </t>
  </si>
  <si>
    <t>DESCRIPCION</t>
  </si>
  <si>
    <t>CANT.</t>
  </si>
  <si>
    <t>LISTA DE PRECIO</t>
  </si>
  <si>
    <t>CODIGO DE BARRA</t>
  </si>
  <si>
    <t>* CODIGO SICM</t>
  </si>
  <si>
    <t xml:space="preserve">* PERMISOS SANITARIOS E INSTALACION </t>
  </si>
  <si>
    <t>* CEDULA DE IDENTIDAD DEL REGENTE</t>
  </si>
  <si>
    <t xml:space="preserve">* TITULO DEL REGENTE </t>
  </si>
  <si>
    <t>***MERCANCIA NUEVA ***</t>
  </si>
  <si>
    <t xml:space="preserve">***PSICOTROPICOS*** </t>
  </si>
  <si>
    <t>REQUISITOS APERTURA DE CODIGO</t>
  </si>
  <si>
    <t>7591061403365</t>
  </si>
  <si>
    <t>PHARSANA</t>
  </si>
  <si>
    <t>ACEITE PARA BEBES AMY 220ML</t>
  </si>
  <si>
    <t>8906130231319</t>
  </si>
  <si>
    <t>BRIXMEDIC</t>
  </si>
  <si>
    <t>ACETAMINOFEN - CLORFENIRAMINA 650MG-2MG (1 SOBRE GRANULADO DIA ) BRIXFLU</t>
  </si>
  <si>
    <t>8906130231302</t>
  </si>
  <si>
    <t>ACETAMINOFEN - CLORFENIRAMINA 650MG-2MG (1 SOBRE GRANULADO NOCHE ) BRIXFLU</t>
  </si>
  <si>
    <t>LAND</t>
  </si>
  <si>
    <t>7591062011330</t>
  </si>
  <si>
    <t>ELMOR</t>
  </si>
  <si>
    <t>ACETAMINOFEN 100MG/ML SOLUCION GOTAS X 30ML USO PED (TACHIPIRIN)</t>
  </si>
  <si>
    <t>7597533000179</t>
  </si>
  <si>
    <t>ZAKI</t>
  </si>
  <si>
    <t>6977234270896</t>
  </si>
  <si>
    <t>2N</t>
  </si>
  <si>
    <t>ACETAMINOFEN 125MG + CLORFENIRAMINA MALEATO 0.5MG JARABE PEDIATRICO 120ML (RINAGRIP)</t>
  </si>
  <si>
    <t>7591062011361</t>
  </si>
  <si>
    <t>ACETAMINOFEN 125MG X 6 SUPOSITORIOS PEDIATRICOS (TACHIPIRIN)</t>
  </si>
  <si>
    <t>7591062011378</t>
  </si>
  <si>
    <t>ACETAMINOFEN 250MG X 6 SUPOSITORIOS USO PEDIATRICO (TACHIPIRIN)</t>
  </si>
  <si>
    <t>JMW</t>
  </si>
  <si>
    <t>7598008002483</t>
  </si>
  <si>
    <t>ACICLOVIR 400 MG X 10 TABLETAS</t>
  </si>
  <si>
    <t>8904464200940</t>
  </si>
  <si>
    <t>FAHD</t>
  </si>
  <si>
    <t>HUMAN</t>
  </si>
  <si>
    <t>7598455000247</t>
  </si>
  <si>
    <t>BIOGLAS</t>
  </si>
  <si>
    <t>ACIDO FOLICO 10MG/1ML SOL INY I.V./I.M. (BIOFOLIC)</t>
  </si>
  <si>
    <t>CR MEDICAR</t>
  </si>
  <si>
    <t>0736372827388</t>
  </si>
  <si>
    <t>GLOBAL MEDIC</t>
  </si>
  <si>
    <t>ACIDO FOLICO 10ML/2ML AMPOLLA I.M./I.V. (GLOBAL MEDIC)</t>
  </si>
  <si>
    <t>8904464205129</t>
  </si>
  <si>
    <t>ACIDO MEFENAMICO 500MG X 10 TABLETAS (MEFEDOL)</t>
  </si>
  <si>
    <t>ADN</t>
  </si>
  <si>
    <t>VITALIS</t>
  </si>
  <si>
    <t>7597533000186</t>
  </si>
  <si>
    <t>ACIDO VALPROICO 250MG/5ML USO PEDIATRICO 60ML JARABE</t>
  </si>
  <si>
    <t>7591353515608</t>
  </si>
  <si>
    <t>ACTIVA SEC - PROTECTORES DIARIOS INCONTINENCIA LEVE X 40 UND</t>
  </si>
  <si>
    <t>SAGLAM</t>
  </si>
  <si>
    <t>RECETTE MARK</t>
  </si>
  <si>
    <t>8904151838531</t>
  </si>
  <si>
    <t>GEOLAB</t>
  </si>
  <si>
    <t>07243373531090</t>
  </si>
  <si>
    <t>SNC</t>
  </si>
  <si>
    <t>ALPRAZOLAM 0.5MG X 30 COMPRIMIDOS (CAPLAM)</t>
  </si>
  <si>
    <t>7707236134632</t>
  </si>
  <si>
    <t>BIOSANO</t>
  </si>
  <si>
    <t>598455000094</t>
  </si>
  <si>
    <t>AMIKACINA 500MG/2ML SOL INY I.V./I.M. (BIOKACIN).</t>
  </si>
  <si>
    <t>6977234270353</t>
  </si>
  <si>
    <t>AMLODIPINA 10 MG X 30 TABLETAS</t>
  </si>
  <si>
    <t>7597533000193</t>
  </si>
  <si>
    <t>7598008000151</t>
  </si>
  <si>
    <t>AMOXICILINA 500 MG X 10 CAPSULA</t>
  </si>
  <si>
    <t>7598981003439</t>
  </si>
  <si>
    <t>AMPICILINA 1G POLVO SOLO INYECTABLE  I.M,/I.V. (JMW)</t>
  </si>
  <si>
    <t>7598981004092</t>
  </si>
  <si>
    <t>APLICADORES DE MADERA DE ALGODON (NO ESTERIL) 100 UND</t>
  </si>
  <si>
    <t>8904187853904</t>
  </si>
  <si>
    <t>ATROPINA 0.5 MG/ML I.M./I.V./S.C. - ATROMED</t>
  </si>
  <si>
    <t>8904187854253</t>
  </si>
  <si>
    <t>AZITROMICINA 200MG/5ML POLVO PARA SUSP 15ML (ZITROMYN)</t>
  </si>
  <si>
    <t>6977234270773</t>
  </si>
  <si>
    <t>AZITROMICINA 200MG/5ML SUSP (ZINATROX) 15 ML</t>
  </si>
  <si>
    <t>7598008000212</t>
  </si>
  <si>
    <t>AZITROMICINA 500 MG X 3 TABLETAS</t>
  </si>
  <si>
    <t>8904151800057</t>
  </si>
  <si>
    <t>8906159254726</t>
  </si>
  <si>
    <t>AZITROMICINA 500MG X 3 TABLETAS (AZIWEL)</t>
  </si>
  <si>
    <t>7597533000131</t>
  </si>
  <si>
    <t>AZITROMICINA 500MG X 3 TABLETAS (ZAKI)</t>
  </si>
  <si>
    <t>6977234270452</t>
  </si>
  <si>
    <t>AZITROMICINA 500MG X 3 TABLETAS RECUBIERTAS</t>
  </si>
  <si>
    <t>B-D</t>
  </si>
  <si>
    <t>BASTON 1 PUNTO COLOR DORADO</t>
  </si>
  <si>
    <t>B-4</t>
  </si>
  <si>
    <t>BASTON 4 PUNTO PLATEADO</t>
  </si>
  <si>
    <t>7591062901365</t>
  </si>
  <si>
    <t>BENCIDAMINA 0.15% + CLORURO DE CETILPIRIDINO 0.25% X 180ML (FLOMED)</t>
  </si>
  <si>
    <t>7599762000173</t>
  </si>
  <si>
    <t>ALFA</t>
  </si>
  <si>
    <t>BENCILPENICILINA BENZATINICA 1.200.000 UI I.M.</t>
  </si>
  <si>
    <t>CIMED</t>
  </si>
  <si>
    <t>8904210707174</t>
  </si>
  <si>
    <t>BIOMERCY</t>
  </si>
  <si>
    <t>BETAHISTINA 8 MG X 30 TABLETAS (BIOTAHISTIN)</t>
  </si>
  <si>
    <t>8906130233498</t>
  </si>
  <si>
    <t>BETAHISTINA DICLORHIDRATO 16MG X 30 TABLETAS</t>
  </si>
  <si>
    <t>8904187899094</t>
  </si>
  <si>
    <t>BIOS VITA</t>
  </si>
  <si>
    <t>BETAMETASONA FOSFATO SODICO 4MG/ML I.M./I.V. AMPOLLA</t>
  </si>
  <si>
    <t>6977234271077</t>
  </si>
  <si>
    <t>BISOPROLOL 5MG X 10 TABLETAS (LATIPROL)</t>
  </si>
  <si>
    <t>17598981003719</t>
  </si>
  <si>
    <t>BOLSA RECOLECTORA DE ORINA 2000 mL</t>
  </si>
  <si>
    <t>17598981003729</t>
  </si>
  <si>
    <t>BOLSA RECOLECTORA DE ORINA PEDIATRICA 200ML</t>
  </si>
  <si>
    <t>7598455000445</t>
  </si>
  <si>
    <t>BRIMONIDINA 0.2% SOLUCION OFTALMICA 5ML (BIODINA)</t>
  </si>
  <si>
    <t>6977234270872</t>
  </si>
  <si>
    <t>BROMEXINA 4MG/5ML X 120ML (BRODOX) PEDIATRICO</t>
  </si>
  <si>
    <t>764451895300</t>
  </si>
  <si>
    <t>BUPIVACAINA 50MG/10ML - EPIDURAL / I.V./ INFILTRACION (GLOBAL MEDIC)</t>
  </si>
  <si>
    <t>7597533000155</t>
  </si>
  <si>
    <t>BUTIL BROMURO DE HIOSCINA 10MG X 10 TABLETAS (ZAKI)</t>
  </si>
  <si>
    <t>8904464204993</t>
  </si>
  <si>
    <t>BUTILBROMURO DE HIOSCINA 10MG X 10 TABLETAS (HIOSIDOL)</t>
  </si>
  <si>
    <t>7598455001107</t>
  </si>
  <si>
    <t>BUTILBROMURO DE HIOSCINA 20MG/1ML I.V./I.M. (BIOMOD)</t>
  </si>
  <si>
    <t>6977234271008</t>
  </si>
  <si>
    <t>CANDESARTAN 8MG X 30 TABLETAS (CANDOX)</t>
  </si>
  <si>
    <t>6977234271688</t>
  </si>
  <si>
    <t>CARVEDILOL 12.5MG X 30 TABLETAS (LATICAR)</t>
  </si>
  <si>
    <t>7598008000274</t>
  </si>
  <si>
    <t>CARVEDILOL 25 MG X 10 TABLETAS</t>
  </si>
  <si>
    <t>6977234271671</t>
  </si>
  <si>
    <t>CARVEDILOL 6.25MG X 30 TABLETAS (LATICAR)</t>
  </si>
  <si>
    <t>17598981003733</t>
  </si>
  <si>
    <t>CATETER INTRAVENOSO 18G (JELCO)</t>
  </si>
  <si>
    <t>17598981003764</t>
  </si>
  <si>
    <t>CATETER INTRAVENOSO 24G (JELCO)</t>
  </si>
  <si>
    <t>7707236120900</t>
  </si>
  <si>
    <t>CEFALOTINA 1G I.M./I.V. AMP (VITALIS)</t>
  </si>
  <si>
    <t>6977234271398</t>
  </si>
  <si>
    <t>CEFIXIMA 100MG/5ML SUSP X 60ML (BACEF)</t>
  </si>
  <si>
    <t>EL MORRO</t>
  </si>
  <si>
    <t>8904464207574</t>
  </si>
  <si>
    <t>CETIRIZINA 10MG X 10 TABLETAS (BIOTREX)</t>
  </si>
  <si>
    <t>7599794000110</t>
  </si>
  <si>
    <t>CHAMBER ADULTO SISTEMA FLOW - VU (CAMARA ESPACIADORA ANTIESTATICA CON VAL.)</t>
  </si>
  <si>
    <t>736372230249</t>
  </si>
  <si>
    <t>8904151828297</t>
  </si>
  <si>
    <t>6977234271442</t>
  </si>
  <si>
    <t>CITRATO DE MAGNESIO 622.28 MG X 30 CAPSULAS (CITRAMAGX)</t>
  </si>
  <si>
    <t>8904187856868</t>
  </si>
  <si>
    <t>CLARITROMICINA INYECTABLE 500MG I.V. AMPOLLA - CLARIMICYN</t>
  </si>
  <si>
    <t>0788364681362</t>
  </si>
  <si>
    <t>CLINDAMICINA 100MG / KETOCONAZOL 400MG X 5 OVULOS (SOLFEM)</t>
  </si>
  <si>
    <t>736372795632</t>
  </si>
  <si>
    <t>CLINDAMICINA 100MG X 5 OVULOS VAGINALES (CLIN)</t>
  </si>
  <si>
    <t>6977234270087</t>
  </si>
  <si>
    <t>CLINDAMICINA 300 MG X 10 CAPSULAS</t>
  </si>
  <si>
    <t>0788364681355</t>
  </si>
  <si>
    <t>CLONAZEPAM 2.5 MG/ML X 20ML (KLOZENA)</t>
  </si>
  <si>
    <t>8906134480218</t>
  </si>
  <si>
    <t>CLOPIDOGREL 75MG X 30 TABLETAS USP</t>
  </si>
  <si>
    <t>8904464203828</t>
  </si>
  <si>
    <t>CLOTRIMAZOL / NEOMICINA / DEXAMETASONA (DECUTEN) CREMA X 20GR</t>
  </si>
  <si>
    <t>8904464203842</t>
  </si>
  <si>
    <t>CLOTRIMAZOL 1% CREMA 20GR (CLOTRIDERM)</t>
  </si>
  <si>
    <t>7591061508176</t>
  </si>
  <si>
    <t>COLONIA PARA BEBES AMY 220ML</t>
  </si>
  <si>
    <t>6977234271039</t>
  </si>
  <si>
    <t>COMPLEJO DE VITAMINAS B1 B6 B12 X 10 TABLETAS (NEUVIT)</t>
  </si>
  <si>
    <t>7598981003634</t>
  </si>
  <si>
    <t>COMPRESA DE GASA ESTERIL 4"X8" (10CMM X 20CM)</t>
  </si>
  <si>
    <t>90191039</t>
  </si>
  <si>
    <t>CONDON DUROBRIX BRIXMEDIC CLASICO X 3 UND</t>
  </si>
  <si>
    <t>8904187899148</t>
  </si>
  <si>
    <t>DEXAMETASONA 4MG/ML I.M./I.V. AMPOLLA</t>
  </si>
  <si>
    <t>7599762000326</t>
  </si>
  <si>
    <t>DEXAMETASONA 8MG/2ML I.M./I.V. (ALFA)</t>
  </si>
  <si>
    <t>0756058829963</t>
  </si>
  <si>
    <t>DEXAMETASONA 8MG/2ML I.M./I.V. AMPOLLA (GLOBAL MEDIC)</t>
  </si>
  <si>
    <t>8904187899155</t>
  </si>
  <si>
    <t>DEXAMETASONA 8MG/ML SODIO FOSFATO I.M./I.V. (BIOS VITA)</t>
  </si>
  <si>
    <t>7598455000292</t>
  </si>
  <si>
    <t>DEXAMETASONA BP 8MG/2ML SOL I.V./I.M. (BIODEXA)</t>
  </si>
  <si>
    <t>TEUTO</t>
  </si>
  <si>
    <t>8906130230190</t>
  </si>
  <si>
    <t>DICLOFENAC POTASICO 100MG  X 30 TAB. RECUBIERTAS USP</t>
  </si>
  <si>
    <t>7591062016458</t>
  </si>
  <si>
    <t>DICLOFENAC POTASICO 12.5MG X 6 SUPOSITORIO USO PEDIATRICO (OFAFLAN)</t>
  </si>
  <si>
    <t>6977234270261</t>
  </si>
  <si>
    <t>DICLOFENAC POTASICO 50MG (DOFLEX) X 20 TABLETAS</t>
  </si>
  <si>
    <t>7899095239630</t>
  </si>
  <si>
    <t>DICLOFENAC POTASICO 50MG X 20 COMPRIMIDOS</t>
  </si>
  <si>
    <t>8906134480300</t>
  </si>
  <si>
    <t>7597533000216</t>
  </si>
  <si>
    <t>DOMPERIDONA 1MG/1ML SUSPENSION ORAL 60ML</t>
  </si>
  <si>
    <t>7598981004337</t>
  </si>
  <si>
    <t>DOPAMINA 200MG/5ML I.V. AMPOLLA</t>
  </si>
  <si>
    <t>8904187808515</t>
  </si>
  <si>
    <t>DOPAMINA 40MG/ML INYECTABLE 5ML (DOPIMED)</t>
  </si>
  <si>
    <t>7598455000698</t>
  </si>
  <si>
    <t>DORZOLAMINA 2% CLORHIDRATO 2% SOLUCION OFTALMICA 5ML (BIORZOLAM)</t>
  </si>
  <si>
    <t>6977234270377</t>
  </si>
  <si>
    <t>ENALAPRIL MALEATO 20MG X 30 TABLETAS (PRILTENS)</t>
  </si>
  <si>
    <t>736372795687</t>
  </si>
  <si>
    <t>ENEMA BP 133ML  (NEMAX) ADULTO</t>
  </si>
  <si>
    <t>8904464204771</t>
  </si>
  <si>
    <t>ENEMA BP 16% FOSFATOS (NEMAX-P) PARA NIÑOS</t>
  </si>
  <si>
    <t>798981005358</t>
  </si>
  <si>
    <t>EQUIPO DE INFUSION (MICROGOTERO) 60GOTAS/ML</t>
  </si>
  <si>
    <t>8904151818502</t>
  </si>
  <si>
    <t>8906130230480</t>
  </si>
  <si>
    <t>ESOMEPRAZOL 40MG X 30 TABLETAS</t>
  </si>
  <si>
    <t>0652931975638</t>
  </si>
  <si>
    <t>ESOMEPRAZOL SODICO 40MG AMPOLLA (EL MORRO)</t>
  </si>
  <si>
    <t>7598455000605</t>
  </si>
  <si>
    <t>ETOFENAMATO SOL INY 1G/2ML I.M.</t>
  </si>
  <si>
    <t>8904464200957</t>
  </si>
  <si>
    <t>904187892910</t>
  </si>
  <si>
    <t>FENITOINA SODICA 100MG/2ML I.M./I.V. (FENTOMIN)</t>
  </si>
  <si>
    <t>8904187892910</t>
  </si>
  <si>
    <t>FENITOINA SODICA 250MG/5ML I.V./I.M. AMPOLLA</t>
  </si>
  <si>
    <t>7598455000209</t>
  </si>
  <si>
    <t>FENITOINA SODICA 250MG/5ML SOL INY I.V./I.M. (BIOFENIT)</t>
  </si>
  <si>
    <t>6977234270629</t>
  </si>
  <si>
    <t>FLUCONAZOL 150MG X 1CAPSULA (COFLUX)</t>
  </si>
  <si>
    <t>7896523208770</t>
  </si>
  <si>
    <t>FLUCONAZOL 150MG X 2 CAPSULAS</t>
  </si>
  <si>
    <t>8904278689719</t>
  </si>
  <si>
    <t>FLUCONAZOL 150MG X 30 CAPSULAS</t>
  </si>
  <si>
    <t>7598981003408</t>
  </si>
  <si>
    <t>7707236126353</t>
  </si>
  <si>
    <t>FUROSEMIDA 20MG/2ML I.M./I.V. (VITALIS)</t>
  </si>
  <si>
    <t>7598455000315</t>
  </si>
  <si>
    <t>FUROSEMIDA BP 20MG/2ML SOL INY I.V./I.M. (BIOSEMID)</t>
  </si>
  <si>
    <t>7598455000100</t>
  </si>
  <si>
    <t>GENTAMICINA 160MG / 2ML SOL INY I.V./I.M. AMPOLLA (GENTAGLASS)</t>
  </si>
  <si>
    <t>7707236127428</t>
  </si>
  <si>
    <t>GENTAMICINA 80MG/2ML I.M./I.V. (VITALIS)</t>
  </si>
  <si>
    <t>8904147876378</t>
  </si>
  <si>
    <t>GLUCONATO DE CALCIO 1G/10ML  (100MG/ML) AMP I.V.</t>
  </si>
  <si>
    <t>7802600305058</t>
  </si>
  <si>
    <t>ITN</t>
  </si>
  <si>
    <t>GUANTES QUIRURGICOS ESTERIL LATEX NRO. 8 (PAR)</t>
  </si>
  <si>
    <t>8906130231067</t>
  </si>
  <si>
    <t>HIDROCLOROTIAZIDA 25MG (BLISTER X 10 TABLETAS)</t>
  </si>
  <si>
    <t>7598455000223</t>
  </si>
  <si>
    <t>HIERRO SACARATO 100MG/5ML SOL INY I.V. (FERROGLAS)</t>
  </si>
  <si>
    <t>15898991003795</t>
  </si>
  <si>
    <t>HOJAS DE BISTURIN QUIRURGICO No .20 ( 1 UND) DE ACERO AL CARBON ESTERIL</t>
  </si>
  <si>
    <t>17598981003788</t>
  </si>
  <si>
    <t>HOJAS DE BISTURIN QUIRURGICO No.15 ( 1 UND) DE ACERO AL CARBON ESTERIL</t>
  </si>
  <si>
    <t>8904151838494</t>
  </si>
  <si>
    <t>IBUPROFENO 200MG/5ML SUSPENSION ORAL X 100ML</t>
  </si>
  <si>
    <t>8906130231647</t>
  </si>
  <si>
    <t>IMIPENEM Y CILASTATINA USP 500MG I.V. AMPOLLA</t>
  </si>
  <si>
    <t>8904464204504</t>
  </si>
  <si>
    <t>IPROPIONATO DE BECLOMETASONA, SULFATO DE GENTAMICINA Y CLOTRIMAZOL (AYCUTEN) CREMA X 15GR</t>
  </si>
  <si>
    <t>GEMA LABS</t>
  </si>
  <si>
    <t>8906130231081</t>
  </si>
  <si>
    <t>IRBESARTAN 300MG (BLISTER X 10 TABLETAS)</t>
  </si>
  <si>
    <t>7594001455844</t>
  </si>
  <si>
    <t>JARABE DE PASSIFLORA CON VALERIANA SIN AZUCAR X 120 ML</t>
  </si>
  <si>
    <t>7594001450962</t>
  </si>
  <si>
    <t>JARABE DE PASSIFLORA X 120ML</t>
  </si>
  <si>
    <t>7594001455776</t>
  </si>
  <si>
    <t>JARABE LAMEDOR ADULTO SIN AZUCAR X 120 ML</t>
  </si>
  <si>
    <t>5588752159539</t>
  </si>
  <si>
    <t>JERINGA DE 1ML DE INSULINA - 27G X 1/2  (PAQUETE X 10)</t>
  </si>
  <si>
    <t>736372795656</t>
  </si>
  <si>
    <t>KETOCONAZOL 400MG X 3 OVULOS VAGINALES</t>
  </si>
  <si>
    <t>8904464205075</t>
  </si>
  <si>
    <t>KETOCONAZOL CREMA 2%  (ZOLCUTEN) 20G</t>
  </si>
  <si>
    <t>0736372230157</t>
  </si>
  <si>
    <t>KETOROLACO TROMETAMINA 30MG/1ML  AMPOLLA I.M./I.V. (GLOBAL MEDIC)</t>
  </si>
  <si>
    <t>7591061640456</t>
  </si>
  <si>
    <t>7591062010814</t>
  </si>
  <si>
    <t>L-CARNITINA 1G/1 SOL ORAL X 180ML (PROVICAR)</t>
  </si>
  <si>
    <t>7595368012732</t>
  </si>
  <si>
    <t>LEVODOPA 250MG + CARBIDOPA 25MG (SORKINOX) X 30 COMPRIMIDOS</t>
  </si>
  <si>
    <t>7598981003422</t>
  </si>
  <si>
    <t>7896523216812</t>
  </si>
  <si>
    <t>LEVONOGESTREL 1.5MG X 1 COMPRIMIDO (DIAD)</t>
  </si>
  <si>
    <t>6977234271466</t>
  </si>
  <si>
    <t>LEVONORGESTREL 1.5MG X 1 TABLETA (POSTIFEM)</t>
  </si>
  <si>
    <t>8906130231876</t>
  </si>
  <si>
    <t>LIDOCAINA 5% USP CREMA 30 GRAMOS</t>
  </si>
  <si>
    <t>7591061399989</t>
  </si>
  <si>
    <t>LOCION PARA BEBES AMY 200ML</t>
  </si>
  <si>
    <t>8906159233712</t>
  </si>
  <si>
    <t>LOSARTAN POTASICO 100MG USP X 30 TABLETAS RECUBIERTAS (ALFA)</t>
  </si>
  <si>
    <t>8906159254771</t>
  </si>
  <si>
    <t>LOSARTAN POTASICO 100MG X 10 TABLETAS (LOSAXEL)</t>
  </si>
  <si>
    <t>8906130230251</t>
  </si>
  <si>
    <t>LOSARTAN POTASICO 100MG X 30 TABLETAS</t>
  </si>
  <si>
    <t>6977234270216</t>
  </si>
  <si>
    <t>LOSARTAN POTASICO 100MG X 30 TABLETAS (HIPERTAN)</t>
  </si>
  <si>
    <t>6977234271244</t>
  </si>
  <si>
    <t>MAGNECIO X 4500MG X 30 CAPSULAS (FORMAGX)</t>
  </si>
  <si>
    <t>7598981004825</t>
  </si>
  <si>
    <t>DR-17</t>
  </si>
  <si>
    <t>00584244958147</t>
  </si>
  <si>
    <t>8904151828280</t>
  </si>
  <si>
    <t>8904187826267</t>
  </si>
  <si>
    <t>MELOXICAM 15MG/1.5 ML I.M. AMPOLLA</t>
  </si>
  <si>
    <t>7707236125035</t>
  </si>
  <si>
    <t>MEROPEREM 500MG I.V. AMP (VITALIS)</t>
  </si>
  <si>
    <t>7598455000032</t>
  </si>
  <si>
    <t>METILPREDNISOLONA 500MG I.M./I.V. (BIOSONA)</t>
  </si>
  <si>
    <t>7598008001578</t>
  </si>
  <si>
    <t>METOCLOPRAMIDA 10MG X 10 TABLETAS</t>
  </si>
  <si>
    <t>6977234270179</t>
  </si>
  <si>
    <t>METRONIDAZOL 15% + MICONAZOL 4% CREMA VAG / 7 APLICADORES (GINOTRAZOL)</t>
  </si>
  <si>
    <t>7597533000261</t>
  </si>
  <si>
    <t>METRONIDAZOL 500MG / I.V. INFUSION 100ML</t>
  </si>
  <si>
    <t>7597533001718</t>
  </si>
  <si>
    <t>METRONIDAZOL 500MG X 10 TABLETAS</t>
  </si>
  <si>
    <t>M-M</t>
  </si>
  <si>
    <t>MULETA TALLA M BRIXMEDIC</t>
  </si>
  <si>
    <t>8904187812116</t>
  </si>
  <si>
    <t>NALOXONA 0.4 MG/ML I.M./I.V./S.C. (NALOX)</t>
  </si>
  <si>
    <t>6977234271701</t>
  </si>
  <si>
    <t>NAPROXENO 500MG X 10 TABLETAS (NAPSIC)</t>
  </si>
  <si>
    <t>7707236123048</t>
  </si>
  <si>
    <t>N-BUTIL BROMURO DE HIOSCINA 20MG/1ML (VITALIS)</t>
  </si>
  <si>
    <t>0736372827425</t>
  </si>
  <si>
    <t>N-BUTILBROMURO DE HIOSCINA 20MG/1ML I.M./I.V. (GLOBAL MEDIC)</t>
  </si>
  <si>
    <t>8908003460598</t>
  </si>
  <si>
    <t>17598981003961</t>
  </si>
  <si>
    <t>OBTURADOR LUER LOCK</t>
  </si>
  <si>
    <t>8906112610729</t>
  </si>
  <si>
    <t>OLIGOELEMENTOS 10ML I.V. (TRAZTEL)</t>
  </si>
  <si>
    <t>6977234270681</t>
  </si>
  <si>
    <t>OLMESARTAN 20MG X 30 TABLETAS (TENSOLM)</t>
  </si>
  <si>
    <t>8904278581532</t>
  </si>
  <si>
    <t>OMEPRAZOL 20MG (2 BLISTER X 7 CAPSULAS)</t>
  </si>
  <si>
    <t>7899095201460</t>
  </si>
  <si>
    <t>OMEPRAZOL 20MG X 28 CAPSULAS (OMENAX)</t>
  </si>
  <si>
    <t>8904187827837</t>
  </si>
  <si>
    <t>ONDANSETRON 4MG/2ML I.M./I.V. (ONDAMET- 4)</t>
  </si>
  <si>
    <t>7598455000278</t>
  </si>
  <si>
    <t>ONDANSETRON 8MG/4ML SOL INY I.V./I.M. (ONDAGLASS)</t>
  </si>
  <si>
    <t>7591062011262</t>
  </si>
  <si>
    <t>OXOLAMINA 28MG/5ML USO PEDIATRICO SABOR A MIEL (PEREBRON)</t>
  </si>
  <si>
    <t>7591062011255</t>
  </si>
  <si>
    <t>OXOLAMINA 50MG/5ML X 120ML ADULTOS SABOR A MIEL (PEREBRON)</t>
  </si>
  <si>
    <t>7591353699018</t>
  </si>
  <si>
    <t>PAÑALES PARA ADULTO SIEMPRE SECO TALLA G  X 6 UND</t>
  </si>
  <si>
    <t>7591353699001</t>
  </si>
  <si>
    <t>PAÑALES PARA ADULTO SIEMPRE SECO TALLA M  X 6 UND</t>
  </si>
  <si>
    <t>7598981003415</t>
  </si>
  <si>
    <t>PARACETAMOL 1G/100ML SOL/INFUSION I.V. 100ML (JMW)</t>
  </si>
  <si>
    <t>6921875009896</t>
  </si>
  <si>
    <t>PENICILINA G BENZATINICA 2.400.000 UI. POLVO SUSP. I.M. (FAHD)</t>
  </si>
  <si>
    <t>17598981004020</t>
  </si>
  <si>
    <t>PINZA UMBLICAL ESTERIL</t>
  </si>
  <si>
    <t>7598455000735</t>
  </si>
  <si>
    <t>POLIETILENGLICOL 0.4% + PROPILENGLICOL 0.3% SOLUCION OFTALMICA 15ML (BIOGLYCOL)</t>
  </si>
  <si>
    <t>977234271794</t>
  </si>
  <si>
    <t>PREDNISOLONA 5MG X 10 TABLETAS (NISOLCORT)</t>
  </si>
  <si>
    <t>7598008001882</t>
  </si>
  <si>
    <t>PREGABALINA 75MG X 10 CAPSULAS</t>
  </si>
  <si>
    <t>697723427411</t>
  </si>
  <si>
    <t>QUETIAPINA 100MG X 10 TABLETAS RECUBIERTAS (DOSQUET)</t>
  </si>
  <si>
    <t>8906159254733</t>
  </si>
  <si>
    <t>RANITIDINA 150MG X 10 TABLETAS (RANIB)</t>
  </si>
  <si>
    <t>6977234271343</t>
  </si>
  <si>
    <t>RANITIDINA 150MG/10ML POR 120 ML JARABE (VIZTOM)</t>
  </si>
  <si>
    <t>8904278581556</t>
  </si>
  <si>
    <t>ROSUVASTATINA 20MG (10 BLISTER X 10 TABLETAS)</t>
  </si>
  <si>
    <t>906130231449</t>
  </si>
  <si>
    <t>ROSUVASTATINA USP 10MG X 30 TABLETAS</t>
  </si>
  <si>
    <t>6977234270841</t>
  </si>
  <si>
    <t>S-CARBOXIMETILCISTEINA 100MG/5ML (FLEMOTOX) PEDIATRICO 120ML SABOR A UVA</t>
  </si>
  <si>
    <t>7591353515011</t>
  </si>
  <si>
    <t>SECUREZZA CLASSIC PAÑALES PARA ADULTOS TALLA L X 6 UND</t>
  </si>
  <si>
    <t>7591353516605</t>
  </si>
  <si>
    <t>SECUREZZA MEGA PACK POST PARTO X 15 UNIDADES</t>
  </si>
  <si>
    <t>6977234271275</t>
  </si>
  <si>
    <t>VALPROATO DE SODIO 250MG/5ML SOL ORAL X 120ML (VAPROX)</t>
  </si>
  <si>
    <t>6977234270674</t>
  </si>
  <si>
    <t>VALSARTAN 160 MG X 10 TABLETAS (DOSVAL)</t>
  </si>
  <si>
    <t>7707236129088</t>
  </si>
  <si>
    <t>VANCOMICINA 500MG I.M./I.V. (VANBIOTIC)</t>
  </si>
  <si>
    <t>7707236120146</t>
  </si>
  <si>
    <t>VECURONIO BROMURO 4MG I.V. (VITALIS)</t>
  </si>
  <si>
    <t>8904278576453</t>
  </si>
  <si>
    <t>VITAMINA C 1000 MG X 20 TABLETAS EFERVESCENTES</t>
  </si>
  <si>
    <t>6977234270391</t>
  </si>
  <si>
    <t>VITAMINA C JARABE - 100MG/5ML X 120ML PEDIATRICO</t>
  </si>
  <si>
    <t>6977234271497</t>
  </si>
  <si>
    <t>VITAMINA D3 2000 U.I. X 30 CAPSULAS BLANDAS (VITAL-D)</t>
  </si>
  <si>
    <t>7599762000388</t>
  </si>
  <si>
    <t>VITAMINA K1 10MG/1ML USO I.M./I.V.</t>
  </si>
  <si>
    <t>30/08/2027</t>
  </si>
  <si>
    <t>30/05/2027</t>
  </si>
  <si>
    <t>30/11/2027</t>
  </si>
  <si>
    <t>30/10/2027</t>
  </si>
  <si>
    <t>30/11/2029</t>
  </si>
  <si>
    <t>30/10/2029</t>
  </si>
  <si>
    <t>30/09/2027</t>
  </si>
  <si>
    <t>30/01/2028</t>
  </si>
  <si>
    <t>30/04/2027</t>
  </si>
  <si>
    <t>30/06/2027</t>
  </si>
  <si>
    <t>30/05/2028</t>
  </si>
  <si>
    <t>30/07/2027</t>
  </si>
  <si>
    <t>30/12/2027</t>
  </si>
  <si>
    <t>30/06/2028</t>
  </si>
  <si>
    <t>28/02/2027</t>
  </si>
  <si>
    <t>30/03/2027</t>
  </si>
  <si>
    <t>28/02/2028</t>
  </si>
  <si>
    <t>30/05/2030</t>
  </si>
  <si>
    <t>30/08/2028</t>
  </si>
  <si>
    <t>20/10/2028</t>
  </si>
  <si>
    <t>30/12/2028</t>
  </si>
  <si>
    <t>31/10/2027</t>
  </si>
  <si>
    <t>30/12/2030</t>
  </si>
  <si>
    <t>30/01/2030</t>
  </si>
  <si>
    <t>30/12/2026</t>
  </si>
  <si>
    <t>19/05/2029</t>
  </si>
  <si>
    <t>30/03/2028</t>
  </si>
  <si>
    <t>30/11/2026</t>
  </si>
  <si>
    <t>31/08/2028</t>
  </si>
  <si>
    <t>30/04/2030</t>
  </si>
  <si>
    <t>07/02/2027</t>
  </si>
  <si>
    <t>31/05/2028</t>
  </si>
  <si>
    <t>30/04/2028</t>
  </si>
  <si>
    <t>30/07/2028</t>
  </si>
  <si>
    <t>25/01/2028</t>
  </si>
  <si>
    <t>30/04/2029</t>
  </si>
  <si>
    <t>30/09/2028</t>
  </si>
  <si>
    <t>10/03/2027</t>
  </si>
  <si>
    <t>14/03/2027</t>
  </si>
  <si>
    <t>30/01/2027</t>
  </si>
  <si>
    <t>04/06/2028</t>
  </si>
  <si>
    <t>30/03/2029</t>
  </si>
  <si>
    <t>30/10/2028</t>
  </si>
  <si>
    <t>26/10/2028</t>
  </si>
  <si>
    <t>30/12/2029</t>
  </si>
  <si>
    <t>20/09/2027</t>
  </si>
  <si>
    <t>04/11/2027</t>
  </si>
  <si>
    <t>07/07/2028</t>
  </si>
  <si>
    <t>31/01/2027</t>
  </si>
  <si>
    <t>20/10/2027</t>
  </si>
  <si>
    <t>30/07/2029</t>
  </si>
  <si>
    <t>15/05/2028</t>
  </si>
  <si>
    <t>04/08/2027</t>
  </si>
  <si>
    <t>8906134480287</t>
  </si>
  <si>
    <t>8906130233382</t>
  </si>
  <si>
    <t>7591353515004</t>
  </si>
  <si>
    <t>CARVEDILOL 12.5MG (3 BLISTER X 10 TABLETAS)</t>
  </si>
  <si>
    <t>NAPROXENO SODICO 250MG (BLISTER X 10 TABLETA)</t>
  </si>
  <si>
    <t>SECUREZZA CLASSIC PAÑALES PARA ADULTOS TALLA M X 6 UND</t>
  </si>
  <si>
    <t xml:space="preserve">SUB TOTAL </t>
  </si>
  <si>
    <t>7598981003941</t>
  </si>
  <si>
    <t>BAJA LENGUA DE MADERA (18MM X 1.6MM) X 100 UND</t>
  </si>
  <si>
    <t>6977234272074</t>
  </si>
  <si>
    <t>DESLORATADINA 5MG X 10 TABLETAS (HIDEST)</t>
  </si>
  <si>
    <t>8904187852822</t>
  </si>
  <si>
    <t>DICLOFENAC POTASICO 75MG/3ML I.M./I.V. (FENALGEN-K)</t>
  </si>
  <si>
    <t>6977234272104</t>
  </si>
  <si>
    <t>ISOSORBIDE DINITRATO 10MG X 10 TABLETAS (ISOR)</t>
  </si>
  <si>
    <t>7598981001695</t>
  </si>
  <si>
    <t>MONTELUKAST 4MG X 10 TABLETAS USO PEDIATRICO (GEMKAST)</t>
  </si>
  <si>
    <t>17598981005065</t>
  </si>
  <si>
    <t>SONDA FOLEY DE DOS VIAS DE LATEX TAMAÑO 14</t>
  </si>
  <si>
    <t>17598981003931</t>
  </si>
  <si>
    <t>SONDA FOLEY DE DOS VIAS DE LATEX TAMAÑO 16</t>
  </si>
  <si>
    <t>17598981005072</t>
  </si>
  <si>
    <t>SONDA FOLEY DE DOS VIAS DE LATEX TAMAÑO 18</t>
  </si>
  <si>
    <t>8904187816824</t>
  </si>
  <si>
    <t>VANCOMICINA CLORHIDRATO 500MG  I.V. AMPOLLA (VANCOZYM)</t>
  </si>
  <si>
    <t>30/07/2030</t>
  </si>
  <si>
    <t>30/01/2029</t>
  </si>
  <si>
    <t>30/06/2030</t>
  </si>
  <si>
    <t>8904278589057</t>
  </si>
  <si>
    <t>CLARITROMICINA 500MG X 10 TABLETAS</t>
  </si>
  <si>
    <t>7598455000889</t>
  </si>
  <si>
    <t>LINEZOLID 600MG/300ML SOL INY I.V. (BIOLID)</t>
  </si>
  <si>
    <t>7599762000135</t>
  </si>
  <si>
    <t>OXCARBAZEPINA 300MG X 30 TABLETAS</t>
  </si>
  <si>
    <t>8904278589583</t>
  </si>
  <si>
    <t>PROPIONATO DE CLOBETASOL 0.05% CREMA 30GR</t>
  </si>
  <si>
    <t>ACETAMINOFEN 120MG/5ML USO PEDIATRICO X 60 ML (ZAKI)</t>
  </si>
  <si>
    <t>7598455001008</t>
  </si>
  <si>
    <t>ACICLOVIR USP 3% UNGUENTO OFTALMICO X 4.5G (BIORPES)</t>
  </si>
  <si>
    <t>7598455000179</t>
  </si>
  <si>
    <t>CEFTRIAXONA 1G VIAL I.V./I.M. (BIOCEFT)</t>
  </si>
  <si>
    <t>7598981003866</t>
  </si>
  <si>
    <t>8904187812633</t>
  </si>
  <si>
    <t>OMEPRAZOL 40MG POLVO PARA SOL INY I.V. (OMECARE)</t>
  </si>
  <si>
    <t>7598455001169</t>
  </si>
  <si>
    <t>PIPERACILINA 4G + TAZOBACTAM 0.5G I.V. (BIOTALIN)</t>
  </si>
  <si>
    <t>7598455000988</t>
  </si>
  <si>
    <t>TOBRAMICINA 0.3% + DEXAMETASONA 0.1% (UNGUENTO OFTALMICO 7.5G (BIODEX)</t>
  </si>
  <si>
    <t>31/10/2028</t>
  </si>
  <si>
    <t>8906134480317</t>
  </si>
  <si>
    <t>0781100195765</t>
  </si>
  <si>
    <t>ALPRAZOLAM 1MG X 30 COMPRIMIDOS (CAPLAM)</t>
  </si>
  <si>
    <t>8906130230626</t>
  </si>
  <si>
    <t>CEFADROXILO SUSP 250MG/5ML 100ML (BRIXMEDIC)</t>
  </si>
  <si>
    <t>0764451277335</t>
  </si>
  <si>
    <t>CITALOPRAM 20MG X 20 COMPRIMIDOS (TROLAM)</t>
  </si>
  <si>
    <t>8906130230428</t>
  </si>
  <si>
    <t>LISINOPRIL 10MG X 30 TABLETAS (BRIXMEDIC)</t>
  </si>
  <si>
    <t>890613480362</t>
  </si>
  <si>
    <t>0602581984443</t>
  </si>
  <si>
    <t>CATETER INTRAVENOSO 20G (JELCO) (PROMAX)</t>
  </si>
  <si>
    <t>PROMAX</t>
  </si>
  <si>
    <t>0741365138983</t>
  </si>
  <si>
    <t>EQUIPO DE INFUSION (MACROGOTERO) 20GOTAS/ML (PROMAX)</t>
  </si>
  <si>
    <t>24/08/2030</t>
  </si>
  <si>
    <t>30/09/2030</t>
  </si>
  <si>
    <t>7709830535838</t>
  </si>
  <si>
    <t>OXITOCINA 10UI/ML I.M./I.V. (VITALIS)</t>
  </si>
  <si>
    <t>7800061395106</t>
  </si>
  <si>
    <t>RANITIDINA 50MG/2ML I.V./I.M. (BIOSANO)</t>
  </si>
  <si>
    <t>19/12/2027</t>
  </si>
  <si>
    <t xml:space="preserve">***OFERTAS 10%***  </t>
  </si>
  <si>
    <t>8904187848252</t>
  </si>
  <si>
    <t>AMIKACINA 500/2ML I.M./I.V. (MEDKACIN)</t>
  </si>
  <si>
    <t>8904187832251</t>
  </si>
  <si>
    <t>FUROSEMIDA 20MG/2ML I.M./I.V. (FUROMED)</t>
  </si>
  <si>
    <t>7598981005464</t>
  </si>
  <si>
    <t>MONO PARA CIRUJANO DESCARTABLE TALLA L (IUND) (SAGLAM)</t>
  </si>
  <si>
    <t>30/08/2030</t>
  </si>
  <si>
    <t>7707236121884</t>
  </si>
  <si>
    <t>DEXAMETASONA FOSFATO 4MG/1ML I.M./I.V. (VITALIS)</t>
  </si>
  <si>
    <t>7591353700059</t>
  </si>
  <si>
    <t>SECUREZZA POST PARTO PREMIUM PAQ X 10 UND</t>
  </si>
  <si>
    <t>0764451895423</t>
  </si>
  <si>
    <t>TIOCOLCHICOSIDO 4MG/2ML I.M. (GLOBAL MEDIC)</t>
  </si>
  <si>
    <t>7591061640463</t>
  </si>
  <si>
    <t>TOALLAS HUMEDAS 99% AGUA X 24 UNID (AMY)</t>
  </si>
  <si>
    <t>6977234271510</t>
  </si>
  <si>
    <t>ACICLOVIR 400MG X 10 TABLETAS (CLOVIDOX)</t>
  </si>
  <si>
    <t>7594001452430</t>
  </si>
  <si>
    <t>AGUA DESTILADA 1 LITRO</t>
  </si>
  <si>
    <t>6977234270704</t>
  </si>
  <si>
    <t>BISACODILO 5 MG X 10 TABLETAS (SACOLAX)</t>
  </si>
  <si>
    <t>6977234270865</t>
  </si>
  <si>
    <t>BROMHIDRATO DE DEXTROMETORFANO 15MG/5ML JARABE (DEXTUSIN)</t>
  </si>
  <si>
    <t>6977234271992</t>
  </si>
  <si>
    <t>CIPROHEPTADINA 4MG + DEXAMETASONA 0.25MG X 30 TABLETAS (HEPTADEX)</t>
  </si>
  <si>
    <t>7594001450900</t>
  </si>
  <si>
    <t>CITRATO DE POTASIO AL 10% JARABE SABOR A FRAMBUESA X 1 LITRO</t>
  </si>
  <si>
    <t>7594001450894</t>
  </si>
  <si>
    <t>CITRATO DE POTASIO AL 10% JARABE SABOR A FRAMBUESA X 120ML</t>
  </si>
  <si>
    <t>6977234271305</t>
  </si>
  <si>
    <t>ESPIRONOLACTONA 25MG X 10 TABLETAS (ALDOSPIR)</t>
  </si>
  <si>
    <t>6977234271824</t>
  </si>
  <si>
    <t>FLAVOXATO 200MG X 10 TABLETAS (UROXAT)</t>
  </si>
  <si>
    <t>7594001450665</t>
  </si>
  <si>
    <t>GEL DE ARNICA X 60GR TUBO</t>
  </si>
  <si>
    <t>7394001452119</t>
  </si>
  <si>
    <t>LOCION ANALGESICA SPRAY X 60 ML FULL ACTION</t>
  </si>
  <si>
    <t>6977234270810</t>
  </si>
  <si>
    <t>6977234271404</t>
  </si>
  <si>
    <t>QUETIAPINA 25MG X 10 TABLETAS (DOSQUET)</t>
  </si>
  <si>
    <t>6977234271503</t>
  </si>
  <si>
    <t>SIMETICONA 125MG X 10 CAPSULAS (EVIFLAT)</t>
  </si>
  <si>
    <t>7594001451631</t>
  </si>
  <si>
    <t>SOLUCION FISIOLOGICA NASAL X 30ML</t>
  </si>
  <si>
    <t>28/02/2029</t>
  </si>
  <si>
    <t>906130231159</t>
  </si>
  <si>
    <t>NIFEDIPINO 30MG X 30 TABLETAS</t>
  </si>
  <si>
    <t>6977234272098</t>
  </si>
  <si>
    <t>VITAMINAS  MINERALES - VIT B1,BIOT,MAGN X 30 CAPSULAS (CENTUVEN-CARE)</t>
  </si>
  <si>
    <t>AMOXICILINA 250MG/5ML POLVO SUSP ORAL 60ML (ZAKI)</t>
  </si>
  <si>
    <t>7597533001589</t>
  </si>
  <si>
    <t>AMOXICILINA 500MG X 10 CAPSULAS (ZAKI)</t>
  </si>
  <si>
    <t>7597533000124</t>
  </si>
  <si>
    <t>AZITROMICINA 200MG/5ML X 30ML POLVO PARA SUSP PEDIATRICO (ZAKI)</t>
  </si>
  <si>
    <t>75975330000308</t>
  </si>
  <si>
    <t>CIPROFLOXACINA 500MG X 10 TABLETAS (ZAKI)</t>
  </si>
  <si>
    <t>8906159254689</t>
  </si>
  <si>
    <t>DICLOFENAC POTASICO 50MG X 10 CAPSULAS (DICLAX)</t>
  </si>
  <si>
    <t>7597533001008</t>
  </si>
  <si>
    <t>LEVONORGESTREL 0.75MG X 2 TABLETAS</t>
  </si>
  <si>
    <t>6977234270414</t>
  </si>
  <si>
    <t>ACETAMINOFEN 500 MG X 10 TABLETAS (FENAMAX)</t>
  </si>
  <si>
    <t>6977234271022</t>
  </si>
  <si>
    <t>ACETAMINOFEN 650MG X 10 TABLETAS (FENAMAX FORTE)</t>
  </si>
  <si>
    <t>7598455000810</t>
  </si>
  <si>
    <t>ALBENDAZOL 400MG X 2 TABLETAS MASTICABLES</t>
  </si>
  <si>
    <t>6977234270834</t>
  </si>
  <si>
    <t>AMBROXOL CLORHIDRATO 30MG/5ML X 120ML (FLEMUXOL)</t>
  </si>
  <si>
    <t>7800061002493</t>
  </si>
  <si>
    <t>AMIORADONA CLORHIDRATO 150MG/3ML I.V. (BIOSANO)</t>
  </si>
  <si>
    <t>7598455001060</t>
  </si>
  <si>
    <t>BROMURO DE IPRATROPIOO + FENOTEROL 0.25MG + 0.50MG/1ML SOL PARA INHALAR (BRONGLASS PLUS)</t>
  </si>
  <si>
    <t>6977234270193</t>
  </si>
  <si>
    <t>CEFADROXILO 500MG X 10 CAPSULAS (DROFAXIL)</t>
  </si>
  <si>
    <t>7896523201801</t>
  </si>
  <si>
    <t>CETOCONAZOL 20MG/G CHAMPU 100ML</t>
  </si>
  <si>
    <t>7896523202600</t>
  </si>
  <si>
    <t>CLORIDRATO DE NAFAZOLINA 0.5MG/ML USO NASAL ADULTO X 30ML (NARIX)</t>
  </si>
  <si>
    <t>0647581896112</t>
  </si>
  <si>
    <t>COMPRESAS DE GASA ESTERIL (4"X4") SOBRE X 2 UNIDADES (PROMAX)</t>
  </si>
  <si>
    <t>977234270070</t>
  </si>
  <si>
    <t>DIOSMINA 450MG + HESPERIDINA 50MG) X 10 TABLETAS (FLADION)</t>
  </si>
  <si>
    <t>8904278581549</t>
  </si>
  <si>
    <t>DOMPERIDONA 10MG X 30 TABLETAS</t>
  </si>
  <si>
    <t>6977234270360</t>
  </si>
  <si>
    <t>ENALAPRIL 10MG X 30 TABLETAS (PRILTENS)</t>
  </si>
  <si>
    <t>7598455000957</t>
  </si>
  <si>
    <t>ESOMEPRAZOL SODICO 40 MG POLVO LIOFILIZADO I.V. (BIOEZ)</t>
  </si>
  <si>
    <t>7896112170310</t>
  </si>
  <si>
    <t>FUROSEMIDA 40MG X 20 COMPRIMIDO</t>
  </si>
  <si>
    <t>17598981005089</t>
  </si>
  <si>
    <t>GUANTES QUIRURGICOS ESTERILES TALLA 6 (1 PAR) (SAGLAM)</t>
  </si>
  <si>
    <t>7707236127510</t>
  </si>
  <si>
    <t>HIDROCORTISONA 500MG I.M./I.V. (VITALIS)</t>
  </si>
  <si>
    <t>6977234271534</t>
  </si>
  <si>
    <t>IBUPROFENO 100MG/5ML JARABE SABOR A UVA 120ML (IBUSIC)</t>
  </si>
  <si>
    <t>6977234270285</t>
  </si>
  <si>
    <t>IBUPROFENO 800MG X 10 TABLETAS RECUBIERTAS (IBUSIC)</t>
  </si>
  <si>
    <t>8906130230558</t>
  </si>
  <si>
    <t>KETOCONAZOL CREMA 2% X 15 GRAMOS (BRIXMEDIC)</t>
  </si>
  <si>
    <t>7598455000025</t>
  </si>
  <si>
    <t>KETOROLACO TROMETAMINA USP 30MG/1ML PARA USO  I.V./I.M.</t>
  </si>
  <si>
    <t>MAS-NEB</t>
  </si>
  <si>
    <t>MASCARA PARA NEBULIZADOR PORTATIL ADULTO/PEDIATRICO</t>
  </si>
  <si>
    <t>598981004016</t>
  </si>
  <si>
    <t>MASCARILLA DESECHABLE 4 TIRAS (50 UNIDADES) SAGLAM</t>
  </si>
  <si>
    <t>MASCARILLA PARA NEBULIZAR TALLA M (BRIXMEDIC)</t>
  </si>
  <si>
    <t>MASCARILLA PARA NEBULIZAR TALLA XL (BRIXMEDIC)</t>
  </si>
  <si>
    <t>MAS-OXI-M</t>
  </si>
  <si>
    <t>MASCARILLA PARA OXIGENO TALLA M (BRIXMEDIC)</t>
  </si>
  <si>
    <t>MAS-OXI-XL</t>
  </si>
  <si>
    <t>MASCARILLA PARA OXIGENO TALLA XL (BRIXMEDIC)</t>
  </si>
  <si>
    <t>7598455001152</t>
  </si>
  <si>
    <t>MEROPENEM 1G SOL INY POLVO INY I.V. (BIOREM)</t>
  </si>
  <si>
    <t>6977234271602</t>
  </si>
  <si>
    <t>NIFEDIPINA L.P. 20MG X 30 TABLETAS (NIFPRES)</t>
  </si>
  <si>
    <t>8906130231159</t>
  </si>
  <si>
    <t>NIFEDIPINO 10MG  X 30 TABLETAS</t>
  </si>
  <si>
    <t>7598455001114</t>
  </si>
  <si>
    <t>NIMODIPINA 10MG/50ML SOL INY I.V. (BIODIP)</t>
  </si>
  <si>
    <t>6977234270698</t>
  </si>
  <si>
    <t>OLMESARTAN 40MG X 30 TABLETAS (TENSOLM)</t>
  </si>
  <si>
    <t>7898100242900</t>
  </si>
  <si>
    <t>BRASTE</t>
  </si>
  <si>
    <t>PARACETAMOL 400MG/MALEATO DE CLORFENIRAMINA 4MG/CLORIDRATO DE FENILEFRINA 4MG  (GRIPALCE) X 20 CAPSULAS</t>
  </si>
  <si>
    <t>7598455001077</t>
  </si>
  <si>
    <t>SALBUTAMOL 5MG/ML X 20ML SOL PARA INHALACION (BIOBROM)</t>
  </si>
  <si>
    <t>6977234270858</t>
  </si>
  <si>
    <t>S-CARBOXIMETILCISTEINA 250MG/5ML JARABE (FLEMOTOX) 120ML</t>
  </si>
  <si>
    <t>7598981005488</t>
  </si>
  <si>
    <t>TRIMETOPRIM + SULFAMETOXAZOL 80MG - 400MG/5ML I.V. (JMW)</t>
  </si>
  <si>
    <t>30/03/2031</t>
  </si>
  <si>
    <t>19/07/2028</t>
  </si>
  <si>
    <t>30/09/2029</t>
  </si>
  <si>
    <t>30/11/2028</t>
  </si>
  <si>
    <t>ACICLOVIR 400MG (2 BLISTER X 6 TABLETAS)  (NEVIR)</t>
  </si>
  <si>
    <t>ALBENDAZOL 400MG (100 TABLETAS MASTICABLES) (FAHD)</t>
  </si>
  <si>
    <t>PLUSPHARMA</t>
  </si>
  <si>
    <t>7597467003215</t>
  </si>
  <si>
    <t>AMIKACINA SULFATO 500MG/2ML I.V./I.M. (PLUSPHARMA)</t>
  </si>
  <si>
    <t>AZITROMICINA 500MG USP X 3 TABLETAS</t>
  </si>
  <si>
    <t>7597467003260</t>
  </si>
  <si>
    <t>CEFTRIAXONA 1G I.M./I.V. (PLUSPHARMA)</t>
  </si>
  <si>
    <t>0756058829932</t>
  </si>
  <si>
    <t>CEFTRIAXONA 1G POLVO PARA INY I.M./I.V. (GLOBAL MEDIC)</t>
  </si>
  <si>
    <t>7591061399941</t>
  </si>
  <si>
    <t>CHAMPU PARA BEBES AMY 200ML</t>
  </si>
  <si>
    <t>CIPROFLOXACINA 500MG X 10 COMPRIMIDOS</t>
  </si>
  <si>
    <t>ESOMEPRAZOL 40MG  (3 X 10 COMPRIMIDOS) FAHD</t>
  </si>
  <si>
    <t>0764451895331</t>
  </si>
  <si>
    <t>HIDROCORTISONA 500MG/10ML I.M./I.V. (GLOBALMEDIC)</t>
  </si>
  <si>
    <t>LEVOFLOXACINA 500MG X 7 TABLETAS (FAFLOX)</t>
  </si>
  <si>
    <t>MELOXICAM 15MG X 10 COMPRIMIDOS (FAHD)</t>
  </si>
  <si>
    <t>0764451895416</t>
  </si>
  <si>
    <t>METOCLOPRAMIDA 10MG/2ML I.V./I.M (GLOBALMEDIC)</t>
  </si>
  <si>
    <t>0729208249379</t>
  </si>
  <si>
    <t>OMEPRAZOL 40MG/10ML I.V. (GLOBALMEDIC)</t>
  </si>
  <si>
    <t>7591353516209</t>
  </si>
  <si>
    <t>CHICCO</t>
  </si>
  <si>
    <t>PAÑALES CHICOS BABY SKIN TALLA G ETAPA 3 (9-12KG) 20UND</t>
  </si>
  <si>
    <t>7591353516100</t>
  </si>
  <si>
    <t>PAÑALES CHICOS BABY SKIN TALLA M ETAPA 2 (5,5-9,5 KG) 20UND</t>
  </si>
  <si>
    <t>7591353516308</t>
  </si>
  <si>
    <t>PAÑALES CHICOS BABY SKIN TALLA XG ETAPA 4 (12-15KG) 20UND</t>
  </si>
  <si>
    <t>7597467003239</t>
  </si>
  <si>
    <t>TIOCOLCHICOSIDO 4MG/2ML I.M. AMP (PLUSPHARMA)</t>
  </si>
  <si>
    <t>7591353701872</t>
  </si>
  <si>
    <t>TOALLAS SANITARIAS FRIENDS TELA SUAVE CON ALAS (FLUJO NORMAL) (14 UND)</t>
  </si>
  <si>
    <t>7591353701858</t>
  </si>
  <si>
    <t>TOALLAS SANITARIAS FRIENDS XTREME-SEC (FLUJO NORMAL) X 14 UND</t>
  </si>
  <si>
    <t>7592616204017</t>
  </si>
  <si>
    <t>KIMICEG</t>
  </si>
  <si>
    <t>ACETAMINOFEN 120MG/5ML (FEBRILIX) X 120ML-SIN AZUCAR (KIMICENG)</t>
  </si>
  <si>
    <t>7592616203010</t>
  </si>
  <si>
    <t>ACETAMINOFEN 500MG X 20 TABLETAS (FEBRILIX) (KIMICEG)</t>
  </si>
  <si>
    <t>7592616583075</t>
  </si>
  <si>
    <t>AMBROXOL 15MG/5ML (MUCOMAX) SOL ORAL X 120ML (KIMICEG)</t>
  </si>
  <si>
    <t>759216576558</t>
  </si>
  <si>
    <t>DESLORATADINA 5MG X 10 TABLETAS (KIMICEG)</t>
  </si>
  <si>
    <t>7592616579016</t>
  </si>
  <si>
    <t>DESLORATADINA JARABE 2.5MG/5ML X 60ML (KIMICEG)</t>
  </si>
  <si>
    <t>7592616165028</t>
  </si>
  <si>
    <t>DICLOFENACO POTASICO 50MG X 20 TABLETAS (KIMICEG)</t>
  </si>
  <si>
    <t>7592616192024</t>
  </si>
  <si>
    <t>ENALAPRIL MALEATO 20MG X 30 TABLETAS (KIMICEG)</t>
  </si>
  <si>
    <t>7592616197012</t>
  </si>
  <si>
    <t>FAMOTIDINA 40MG X 10 TABLETAS (KIMICEG)</t>
  </si>
  <si>
    <t>7592616221014</t>
  </si>
  <si>
    <t>IBUPROFENO 100MG/5ML SUSP ORAL X 60ML (KIMICEG)</t>
  </si>
  <si>
    <t>7592616220017</t>
  </si>
  <si>
    <t>IBUPROFENO 400MG X 10 TABLETAS (KIMICEG)</t>
  </si>
  <si>
    <t>7592616361017</t>
  </si>
  <si>
    <t>LORATADINA 10MG X 10 TABLETAS (KIMICEG)</t>
  </si>
  <si>
    <t>7592616382012</t>
  </si>
  <si>
    <t>METRONIDAZOL BENZOIL SUSP ORAL 125MG/5ML X 120ML (KIMICEG)</t>
  </si>
  <si>
    <t>7592616471013</t>
  </si>
  <si>
    <t>SECNIDAZOL 500MG X 4 TABLETAS (KIMICEG)</t>
  </si>
  <si>
    <t>7592616576596</t>
  </si>
  <si>
    <t>SILDENAFIL 50MG X 2 TABLETAS (KIMICEG)</t>
  </si>
  <si>
    <t>7592616480015</t>
  </si>
  <si>
    <t>SULFADIAZINA DE PLATA CREMA 1% X 30G (KIMICEG)</t>
  </si>
  <si>
    <t>7592616546018</t>
  </si>
  <si>
    <t>TRIMETOPRIM-SULFAMETOXAZOL 40MG-200MG/5ML SUSP 60ML (KIMICEG)</t>
  </si>
  <si>
    <t>30/06/2029</t>
  </si>
  <si>
    <t>30/05/2029</t>
  </si>
  <si>
    <t>7598981005143</t>
  </si>
  <si>
    <t>ACETAMINOFEN 500MG X 10 TABLETAS (MIDOL)</t>
  </si>
  <si>
    <t>598981004108</t>
  </si>
  <si>
    <t>COLECTOR DE ORINA 60ML (PAQ X 7 UND)</t>
  </si>
  <si>
    <t>7598981003446</t>
  </si>
  <si>
    <t>DICLOFENAC POTASICO 75MG/3ML SOL INY I.M. AMPOLLA</t>
  </si>
  <si>
    <t>7598981001725</t>
  </si>
  <si>
    <t>MONTELUKAST 5MG X 30 TABLETAS USO PEDIATRICO (GEMKAST)</t>
  </si>
  <si>
    <t>8909280100245</t>
  </si>
  <si>
    <t>ONDANSETRON 8MG/4ML I.M./I.V. (ONDAMET - 8)</t>
  </si>
  <si>
    <t>7598981001404</t>
  </si>
  <si>
    <t>ONDANSETRON 8MG/4ML I.V.- I.M. (JMW)</t>
  </si>
  <si>
    <t>904187889675</t>
  </si>
  <si>
    <t>PROPOFOL EMULSION INY USP 200MG/20ML I.V. (LIPROFOL)</t>
  </si>
  <si>
    <t>TOALLITAS DESMAQUILLANTES X 24UND (LADY FACE)</t>
  </si>
  <si>
    <t>7800061000703</t>
  </si>
  <si>
    <t>KETOPROFENO 100MG/2ML I.V./I.M. AMPOLLA (BIOSANO)</t>
  </si>
  <si>
    <t>30/12/1899</t>
  </si>
  <si>
    <t>7593255001524</t>
  </si>
  <si>
    <t>ALNA</t>
  </si>
  <si>
    <t>ALCOHOL ABSOLUTO 120ML ATOMIZADOR (ALNA)</t>
  </si>
  <si>
    <t>7593255000244</t>
  </si>
  <si>
    <t>ALCOHOL ANTISEPTICO AL 70% 100CC (ALNA)</t>
  </si>
  <si>
    <t>8906134480249</t>
  </si>
  <si>
    <t>B-D-B-20LT</t>
  </si>
  <si>
    <t>BOLSA DE DESECHOS BIOLOGICOS 20LTS ROJA</t>
  </si>
  <si>
    <t>B-D-B-40LTS</t>
  </si>
  <si>
    <t>HMD MEDICAL</t>
  </si>
  <si>
    <t>BOLSA DE DESECHOS BIOLOGICOS 40LTS ROJA</t>
  </si>
  <si>
    <t>C-B</t>
  </si>
  <si>
    <t>TELNOTEJ</t>
  </si>
  <si>
    <t>CUBRE BOTAS (PAQ X 10 PAR) TELNOTEJ</t>
  </si>
  <si>
    <t>8998230770041</t>
  </si>
  <si>
    <t>PASTILLERO REDONDO SEMANAL</t>
  </si>
  <si>
    <t>8998230770027</t>
  </si>
  <si>
    <t>PASTILLERO SEMANAL DIA Y NOCHE</t>
  </si>
  <si>
    <t>7595651000057</t>
  </si>
  <si>
    <t>7595651000071</t>
  </si>
  <si>
    <t>RECOLECTOR DE ORINA HMD (1 UND)</t>
  </si>
  <si>
    <t>81857T</t>
  </si>
  <si>
    <t>RM</t>
  </si>
  <si>
    <t>SUTURA PROLENE 2-0 CURVA CORTE REVERSO (UND)</t>
  </si>
  <si>
    <t>PENTOXIFILINA 400MG X 30 TABLETAS (BRIXMEDIC)</t>
  </si>
  <si>
    <t>* RIF</t>
  </si>
  <si>
    <t>7597467003338</t>
  </si>
  <si>
    <t>AMIKACINA SULFATO 100MG/2ML I.V./I.M. (PLUSPHARMA)</t>
  </si>
  <si>
    <t>7598981003460</t>
  </si>
  <si>
    <t>GENTAMICINA 80MG/2ML I.V./I.M. AMPOLLA</t>
  </si>
  <si>
    <t>7598981005099</t>
  </si>
  <si>
    <t>GUANTES DE NITRILO TALLA S (CAJA DE 50 PARES) (SAGLAM)</t>
  </si>
  <si>
    <t>7598981003989</t>
  </si>
  <si>
    <t>LAPIZ DE ELECTROBISTURI (3 MTS DE CABLE)</t>
  </si>
  <si>
    <t>LORATADINA JBE 5MG/5ML X 60ML SABOR A UVA (LORASMIN)</t>
  </si>
  <si>
    <t>7896523209142</t>
  </si>
  <si>
    <t>SULFATO DE NEOMICINA + BACITRACINA ZINCICA 5MG/G+250UI/G 15G POMADA</t>
  </si>
  <si>
    <t>7896714257600</t>
  </si>
  <si>
    <t>NEO QUIMICA</t>
  </si>
  <si>
    <t>TORSILAX  - (1 BLISTER X 10 COMPRIMIDOS)</t>
  </si>
  <si>
    <t>7896714218267</t>
  </si>
  <si>
    <t>TORSILAX X 12 COMPRIMIDOS</t>
  </si>
  <si>
    <t>8906130230466</t>
  </si>
  <si>
    <t>VITAMINAS COMPLEJO B (10 BLISTER X 10 TABLETAS)</t>
  </si>
  <si>
    <t>08/02/2027</t>
  </si>
  <si>
    <t>29/07/2027</t>
  </si>
  <si>
    <t xml:space="preserve">FAMILIA </t>
  </si>
  <si>
    <t>7800061140201</t>
  </si>
  <si>
    <t>DIAZEPAM 10MG/2ML I.V./I.M. AMPOLLA</t>
  </si>
  <si>
    <t>RECOLECTOR DE HECES HMD (UND)</t>
  </si>
  <si>
    <t>SOLUCIONES</t>
  </si>
  <si>
    <t>7591096001499</t>
  </si>
  <si>
    <t>ADRENALINA 1MG/1ML AMP I.V. SUBCUTANEA (BIOSANO)</t>
  </si>
  <si>
    <t>7707236125721</t>
  </si>
  <si>
    <t>BETAMETILDIGOXINA 0.2MG/2ML I.V. AMP (VITALIS)</t>
  </si>
  <si>
    <t>800061002356</t>
  </si>
  <si>
    <t>CLORFENIRAMINA 10MG/1ML I.V./I.M. (BIOSANO)</t>
  </si>
  <si>
    <t>7800061770057</t>
  </si>
  <si>
    <t>METOCLOPRAMIDA 10MG/2ML I.M./I.V. (BIOSANO)</t>
  </si>
  <si>
    <t>06/12/2028</t>
  </si>
  <si>
    <t>8906134480263</t>
  </si>
  <si>
    <t>AMBROXOL 30MG/5ML SUSPENSION 120ML (BRIXMEDIC)</t>
  </si>
  <si>
    <t>8906134480294</t>
  </si>
  <si>
    <t>AMINOFILINA INY BP 250MG AMP I.V.</t>
  </si>
  <si>
    <t>8906134480379</t>
  </si>
  <si>
    <t>BISOPROLOL FUMARATO 2.5MG (3X10 TABLETAS) (BRIXMEDIC)</t>
  </si>
  <si>
    <t>HMD</t>
  </si>
  <si>
    <t>DR-659</t>
  </si>
  <si>
    <t>BURETA DE INFUSION 150ML SET</t>
  </si>
  <si>
    <t>8906134480348</t>
  </si>
  <si>
    <t>ENALAPRIL 20MG X 30 TABLETAS (BRIXMEDIC)</t>
  </si>
  <si>
    <t>GORRO-P</t>
  </si>
  <si>
    <t>GORRO DESECHABLE PACIENTE 100 UND COLOR AZUL</t>
  </si>
  <si>
    <t>8906130231821</t>
  </si>
  <si>
    <t>IBUPROFENO 600MG - TIOCOLCHICOSIDO 4MG (BLISTER X 10 TABLETAS)</t>
  </si>
  <si>
    <t>3</t>
  </si>
  <si>
    <t>JERINGA DE 3ML - 21G X 1 1/2 (PAQ X 10 UND)</t>
  </si>
  <si>
    <t>KIT-LAP</t>
  </si>
  <si>
    <t>KIT LAPARATOMIA TIPO II 40GR</t>
  </si>
  <si>
    <t>NOR-GYNA - 1 AMPOLLA 1ML (NORETISTERONA ENANTATO 50MG+ESTRADIOL VALERATO 5MG)</t>
  </si>
  <si>
    <t>8906134480386</t>
  </si>
  <si>
    <t>PREDNISOLONA SOLUCION ORAL 3MG/5ML X 60ML (CORTIBRIX)</t>
  </si>
  <si>
    <t>8906130231197</t>
  </si>
  <si>
    <t>PREGABALINA 150MG (3 BLISTER X 10 CAPSULAS)</t>
  </si>
  <si>
    <t>8906130231449</t>
  </si>
  <si>
    <t>ROSUVASTATINA USP 20MG X 30 TABLETAS</t>
  </si>
  <si>
    <t>6972137490679</t>
  </si>
  <si>
    <t>SOLUCION FISIOLOGICA DE CLORURO DE SODIO 09% 1000 ML</t>
  </si>
  <si>
    <t>T-R-S-T-M</t>
  </si>
  <si>
    <t>TUBO RECOLECTOR DE SANGRE TAPA MORADA X 100 UND</t>
  </si>
  <si>
    <t>T-R-S-R</t>
  </si>
  <si>
    <t>29/04/2030</t>
  </si>
  <si>
    <t>01/04/2030</t>
  </si>
  <si>
    <t>28/02/2031</t>
  </si>
  <si>
    <t>0764451895546</t>
  </si>
  <si>
    <t>MEROPEREM 1G POLVO I.V. (GLOBALMEDIC)</t>
  </si>
  <si>
    <t>7709990706628</t>
  </si>
  <si>
    <t>0736372827340</t>
  </si>
  <si>
    <t>8904464205105</t>
  </si>
  <si>
    <t>7707236127305</t>
  </si>
  <si>
    <t>7707236121167</t>
  </si>
  <si>
    <t>ACIDO ASCORBICO BP 100MG/ML I.M/I.V. AMP</t>
  </si>
  <si>
    <t>AMLODIPINA 10 MG (3 BLISTER X 10 TABLETAS) (BRIXMEDIC)</t>
  </si>
  <si>
    <t>BROMURO DE ROCURONIO 10MG/ML I.V. (VITALIS)</t>
  </si>
  <si>
    <t>DICLOFENAC POTASICO 75MG/3ML I.M./.V. AMPOLLA (GLOBAL MEDIC)</t>
  </si>
  <si>
    <t>DIFENHIDRAMINA 25 MG X 10 TABLETAS BP</t>
  </si>
  <si>
    <t>NITAZOXANIDA 500MG X 6 TABLETAS (XONIDAX)</t>
  </si>
  <si>
    <t>RANITIDINA 50MG/2ML I.M./I.V. (VITALIS)</t>
  </si>
  <si>
    <t>19/03/2028</t>
  </si>
  <si>
    <t>TRAMADOL CLORHIDRATO 50MG/1ML I.M./I.V. AMPOLLA</t>
  </si>
  <si>
    <t>08/09/2028</t>
  </si>
  <si>
    <t>TOTAL ORDEN  $</t>
  </si>
  <si>
    <t>CIPROFLOXACINA 200MG/100 ML INFUSION INTRAVENOSA</t>
  </si>
  <si>
    <t>FLUCONAZOL 200MG/100ML SOL PARA INFUSION II.V.</t>
  </si>
  <si>
    <t>LEVOFLOXACINO 500MG/100ML SOL PARA INFUSION I.V.</t>
  </si>
  <si>
    <t>B-D-B-60LTS</t>
  </si>
  <si>
    <t>BOLSA DE DESECHOS BIOLOGICOS 60LTS ROJA</t>
  </si>
  <si>
    <t>759565100033</t>
  </si>
  <si>
    <t>CEPILLO QUIRURGICO IMPREGNADO EN SOL IODADA AL 7.5%  BIO SCRUB</t>
  </si>
  <si>
    <t>SH</t>
  </si>
  <si>
    <t>3170467290002</t>
  </si>
  <si>
    <t>MEDAID</t>
  </si>
  <si>
    <t>KIT DE NEBULIZACION ADULTO</t>
  </si>
  <si>
    <t>KITPAC1000114</t>
  </si>
  <si>
    <t>SEBIS</t>
  </si>
  <si>
    <t>KIT DE PACIENTE ADULTO (BATA - GORRO - CUBREBOTAS)</t>
  </si>
  <si>
    <t>00810965020767</t>
  </si>
  <si>
    <t>KIT DE PACIENTE PEDIATRICO (BATA - GORRO - CUBREBOTAS)</t>
  </si>
  <si>
    <t>17598981003887</t>
  </si>
  <si>
    <t>8136820226121</t>
  </si>
  <si>
    <t>PRUEBA DE EMBARAZO HCG</t>
  </si>
  <si>
    <t>13/09/2030</t>
  </si>
  <si>
    <t>598981003576</t>
  </si>
  <si>
    <t>ALGODON EN ROLLO 500G (SAGLAM)</t>
  </si>
  <si>
    <t>7594001452089</t>
  </si>
  <si>
    <t>AZUFRE X 25 GR</t>
  </si>
  <si>
    <t>7594001452096</t>
  </si>
  <si>
    <t>BICARBONATO DE SODIO X 25G</t>
  </si>
  <si>
    <t>7594001452102</t>
  </si>
  <si>
    <t>BORAX X 25GR</t>
  </si>
  <si>
    <t>7598981004078</t>
  </si>
  <si>
    <t>CINTA TESTIGO 19MM X 25M X 1 UND</t>
  </si>
  <si>
    <t>7750215026502</t>
  </si>
  <si>
    <t>LAB PORTUGAL</t>
  </si>
  <si>
    <t>DEXAMETASONA 4MG (BLISTER X 10 TABLETA)</t>
  </si>
  <si>
    <t>7594001452201</t>
  </si>
  <si>
    <t>FLOR DE MANZANILLA X 10GR</t>
  </si>
  <si>
    <t>7591838000018</t>
  </si>
  <si>
    <t>GERDEX</t>
  </si>
  <si>
    <t>GERDEX GALON</t>
  </si>
  <si>
    <t>MASCARA DE OXIGENO TALLA M (SAGLAM)</t>
  </si>
  <si>
    <t>7591061640210</t>
  </si>
  <si>
    <t>MOTAS DE ALGODON 100 UND CHICCO</t>
  </si>
  <si>
    <t>75940011455462</t>
  </si>
  <si>
    <t>QUINOA X 250 GRS</t>
  </si>
  <si>
    <t>7750215029138</t>
  </si>
  <si>
    <t>SUBSALICILATO DE BISMUTO 87.33MG/5ML FRASCO 150ML (BISMUALIV)</t>
  </si>
  <si>
    <t>7593553680542</t>
  </si>
  <si>
    <t>TOALLAS FEMENINAS ACTIVA SEC PERDIDA ABUNDANTE X 10 UND</t>
  </si>
  <si>
    <t>7594001453697</t>
  </si>
  <si>
    <t>VAINILLINA X 10GR</t>
  </si>
  <si>
    <t>07598981003705</t>
  </si>
  <si>
    <t>VENDA DE YESO 10CM X2.7M (4"X3"YD) (SAGLAM)</t>
  </si>
  <si>
    <t>30/08/2031</t>
  </si>
  <si>
    <t>OFTALMICO</t>
  </si>
  <si>
    <r>
      <t xml:space="preserve"> </t>
    </r>
    <r>
      <rPr>
        <i/>
        <sz val="16"/>
        <color indexed="9"/>
        <rFont val="Century Gothic"/>
        <family val="2"/>
      </rPr>
      <t>“</t>
    </r>
    <r>
      <rPr>
        <i/>
        <sz val="16"/>
        <color indexed="8"/>
        <rFont val="Century Gothic"/>
        <family val="2"/>
      </rPr>
      <t>Los precios de los productos han sido determinados en Dólares a la fecha indicada en la lista de precio y expresados en Bolívares a la tasa de cambio oficial del Banco Central de Venezuela, vigente al día del envío,  Los montos expresados en Bolívares deberán ser actualizados diariamente con base en la Tasa de Cambio Oficial del Banco Central de Venezuela.</t>
    </r>
    <r>
      <rPr>
        <i/>
        <sz val="16"/>
        <color indexed="9"/>
        <rFont val="Century Gothic"/>
        <family val="2"/>
      </rPr>
      <t>”</t>
    </r>
    <r>
      <rPr>
        <sz val="16"/>
        <color indexed="9"/>
        <rFont val="Century Gothic"/>
        <family val="2"/>
      </rPr>
      <t> </t>
    </r>
  </si>
  <si>
    <t>8904278592644</t>
  </si>
  <si>
    <t>ACICLOVIR 5% USO TOPIDO 10GR (CLOVIDOX)</t>
  </si>
  <si>
    <t>6977234271312</t>
  </si>
  <si>
    <t>ACIDO FOLICO + HIERRO + VIT B12 X 10 TABLETAS (IRFOL B12)</t>
  </si>
  <si>
    <t>6977234270049</t>
  </si>
  <si>
    <t>ACIDO FOLICO 10MG X 30 TABLETAS (CELUFOL)</t>
  </si>
  <si>
    <t>6977234270827</t>
  </si>
  <si>
    <t>AMBROXOL CLORHIDRATO 15MG/5ML X 120ML SABOR A UVA  (FLEMUXOL)</t>
  </si>
  <si>
    <t>6977234271237</t>
  </si>
  <si>
    <t>AMOXICILINA + ACIDO CLAVULANICO 600MG+42.9MG / 5ML VIA ORAL X 60ML (MOX PLUS)</t>
  </si>
  <si>
    <t>6977234270469</t>
  </si>
  <si>
    <t>BACITRACINA UNGUENTO USO TOPICO 500UI 15 GRAMOS (BACIX)</t>
  </si>
  <si>
    <t>6977234271084</t>
  </si>
  <si>
    <t>BETAHISTINA 16MG X 10 TABLETAS (VEHISTIN)</t>
  </si>
  <si>
    <t>6977234271060</t>
  </si>
  <si>
    <t>BISOPROLOL 2.5MG X 10 TABLETAS (LATIPROL)</t>
  </si>
  <si>
    <t>890800942455</t>
  </si>
  <si>
    <t>BUDESONIDA 1MG/1ML - BUDEQUIT SUSPENSION PARA INHALAR 10ML</t>
  </si>
  <si>
    <t>6977234271916</t>
  </si>
  <si>
    <t>CAPTOPRIL 50MG X 30 TABLETAS (PRILCAP)</t>
  </si>
  <si>
    <t>6977234270780</t>
  </si>
  <si>
    <t>CETIRIZINA 5MG/5ML JARABE (CIZTAMIN) 60 ML PEDIATRICO</t>
  </si>
  <si>
    <t>6977234271718</t>
  </si>
  <si>
    <t>GLIBENCLAMIDA 5M X 30 TABLETAS (CONGLIB)</t>
  </si>
  <si>
    <t>6977234271251</t>
  </si>
  <si>
    <t>HIERO + ACIDO FOLICO - GOTAS X 30ML (IRFOL)</t>
  </si>
  <si>
    <t>6977234271183</t>
  </si>
  <si>
    <t>LEVETIRACETAM 500MG X 10 TABLETAS RECUBIERTAS (TIRACETAX)</t>
  </si>
  <si>
    <t>6977234271213</t>
  </si>
  <si>
    <t>LEVOTIROXINA SODICA 50MG X 30 TABLETAS (DOSTIROX)</t>
  </si>
  <si>
    <t>6977234271220</t>
  </si>
  <si>
    <t>LEVOTIROXINA SODIVA 100MG X 30 TABLETAS (DOSTIROX)</t>
  </si>
  <si>
    <t>8904464205006</t>
  </si>
  <si>
    <t>LORATADINA 10MG X 10 TABLETAS (LORASMIN)</t>
  </si>
  <si>
    <t>MASCARA PARA NEBILIZAR P/NIÑOS TALLA S</t>
  </si>
  <si>
    <t>6977234270308</t>
  </si>
  <si>
    <t>METFORMINA 500MG X 30 TABLETAS (GLICONT)</t>
  </si>
  <si>
    <t>6977234271565</t>
  </si>
  <si>
    <t>METFORMINA 850MG X 30 TABLETAS (GLICONT)</t>
  </si>
  <si>
    <t>6977234271770</t>
  </si>
  <si>
    <t>MTRONIDAZOL 500MG/100ML SOL INY I.V. (TRIZOLBAC) (2N)</t>
  </si>
  <si>
    <t>6977234271053</t>
  </si>
  <si>
    <t>NAFAZOLINA CLORHIDRATO 0.12% MG/ML SOL OFTALMICA (CLIRMAX)</t>
  </si>
  <si>
    <t>7599762000364</t>
  </si>
  <si>
    <t>OXITOCINA 10UI/1ML SOL INYECTABLE I.M./I.V.</t>
  </si>
  <si>
    <t>6977234270438</t>
  </si>
  <si>
    <t>890800942301</t>
  </si>
  <si>
    <t>SALBUTAMOL SOL PARA INH 5MG/1ML (SALBUQUIT) 15ML</t>
  </si>
  <si>
    <t>6977234272203</t>
  </si>
  <si>
    <t>SALES DE REHIDRATACION PARA SOL ORAL SABOR A COCO (1 SOBRE) ICTROMIX</t>
  </si>
  <si>
    <t>6977234271879</t>
  </si>
  <si>
    <t>SULFADIAZINA DE PLATA 1% X 30G (QUEMADERM)</t>
  </si>
  <si>
    <t>TUBO RECOLECTOR DE SANGRE TAPA ROJA (UND)</t>
  </si>
  <si>
    <t>6977234270650</t>
  </si>
  <si>
    <t>VALSARTAN 80 MG X 30 TABLETAS (DOSVAL)</t>
  </si>
  <si>
    <t xml:space="preserve">TOTAL </t>
  </si>
  <si>
    <t>DESC 6%</t>
  </si>
  <si>
    <t>140555596777</t>
  </si>
  <si>
    <t>008</t>
  </si>
  <si>
    <t>7598157000019</t>
  </si>
  <si>
    <t>SUMEDIB</t>
  </si>
  <si>
    <t>7598981003606</t>
  </si>
  <si>
    <t>SCAL</t>
  </si>
  <si>
    <t>7591353700066</t>
  </si>
  <si>
    <t>6971077610383</t>
  </si>
  <si>
    <t>VALEMEDIC</t>
  </si>
  <si>
    <t>7598981002722</t>
  </si>
  <si>
    <t>8904464205082</t>
  </si>
  <si>
    <t>ACETAMINOFEN 650MG + CLORENIRAMINA 4MG ANTIGRIPAL X 10 TABLETAS NOCHE (RINAGRIP)</t>
  </si>
  <si>
    <t>AMIKACINA 100MG/2ML I.V./I.M. (VITALIS)</t>
  </si>
  <si>
    <t>BATA DE CIRUJANO ESTERIL (22CMX22CM)</t>
  </si>
  <si>
    <t>BATA DE PACIENTE TELNOTEJ</t>
  </si>
  <si>
    <t>COMPRESA PARA LAPAROTOMIA 45CMX45CM (5 UND)</t>
  </si>
  <si>
    <t>EQUIPO DE INFUSION CON BURETA 100ML</t>
  </si>
  <si>
    <t>PERICRANEAL NO. 23 (AZUL)</t>
  </si>
  <si>
    <t>PERICRANEAL NO. 25 (NARANJA)</t>
  </si>
  <si>
    <t>PROTECTOR DE CAMA 50 X 90 CM - CONT 20 UND (SIEMPRE SECO)</t>
  </si>
  <si>
    <t>SET DE INFUSION CON BURETA 150ML (VALEMEDIC)</t>
  </si>
  <si>
    <t>04/08/2030</t>
  </si>
  <si>
    <t>SOLUCION FISIOLOGICA DE CLORURO DE SODIO 0.9% 500ML (JMW)</t>
  </si>
  <si>
    <t>TADALAFIL 20MG X 4 TABLETAS (VIGOFIL)</t>
  </si>
  <si>
    <t>GRANULADO</t>
  </si>
  <si>
    <t>DESCARTABLE</t>
  </si>
  <si>
    <t>30/10/2026</t>
  </si>
  <si>
    <t xml:space="preserve">COSMETICOS / MISCELANEOS </t>
  </si>
  <si>
    <t xml:space="preserve">OVULOS / SUPOSITORIOS </t>
  </si>
  <si>
    <t xml:space="preserve">INHALADORES / SOL PARA INHALAR </t>
  </si>
  <si>
    <t>7707236120320</t>
  </si>
  <si>
    <t>AMPICILINA + SULBACTAM 1.5G I.M./I.V.</t>
  </si>
  <si>
    <t>7707236127473</t>
  </si>
  <si>
    <t>CLINDAMICINA 600MG/4ML I.M./I.V. VITALIS</t>
  </si>
  <si>
    <t>05/01/2028</t>
  </si>
  <si>
    <t>7707236127480</t>
  </si>
  <si>
    <t>HIDROCORTISONA 100MG I.M./I.V. AMPOLLA</t>
  </si>
  <si>
    <t>24/08/2028</t>
  </si>
  <si>
    <t>7707236128739</t>
  </si>
  <si>
    <t>DICLOFENAC SODICO 75MG/3ML I.M./I.V. (VITALIS)</t>
  </si>
  <si>
    <t>08/08/2028</t>
  </si>
  <si>
    <t>7707236128814</t>
  </si>
  <si>
    <t>DIPIRONA 1G/2ML I.M./I.V. AMP (VITALIS)</t>
  </si>
  <si>
    <t>25/06/2029</t>
  </si>
  <si>
    <t>7800061002417</t>
  </si>
  <si>
    <t>NEOSTIGMINA METILSULFATO 0.5MG/1ML I.M./I.V. (BIOSANO)</t>
  </si>
  <si>
    <t>Al dar la bienvenida al mes de octubre, queremos aprovechar la oportunidad para agradecerle por su confianza continua. Este nuevo mes nos impulsa a seguir mejorando para ofrecerle soluciones de alta calidad y una atención a la altura de sus expectativas.</t>
  </si>
  <si>
    <t>Quedamos a su entera disposición para acompañarle en todos sus proyectos de este mes.</t>
  </si>
  <si>
    <t>0602581984450</t>
  </si>
  <si>
    <t>CATETER INTRAVENOSO 22G (JELCO) (PROMAX)</t>
  </si>
  <si>
    <t>8906130233566</t>
  </si>
  <si>
    <t>DOPAMINA 200MG / 5ML I.V. AMPOLLA</t>
  </si>
  <si>
    <t>8904187820234</t>
  </si>
  <si>
    <t>METILPREDNISOLONA 500 MG I.M./I.V. (PREDSONA)</t>
  </si>
  <si>
    <t>0001211609100</t>
  </si>
  <si>
    <t>SOLUCION CLORURO DE SODIO AL 0.9% FRASCO 100ML (MEDIFLEX)</t>
  </si>
  <si>
    <t>AMPOLLAS / INFUSION</t>
  </si>
  <si>
    <t>CREMA / GELES / POMADAS</t>
  </si>
  <si>
    <t xml:space="preserve">ESENCIAS Y YERBAS EN SOBRE </t>
  </si>
  <si>
    <t>JARABE / GOTAS / SUSPENSION</t>
  </si>
  <si>
    <t xml:space="preserve">DESCARTABLE </t>
  </si>
  <si>
    <t>TABLETAS / COMPRIMIDOS / CAPSULA</t>
  </si>
  <si>
    <t xml:space="preserve">OFTALMICO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</si>
</sst>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Bs.&quot;#,##0;[Red]&quot;Bs.&quot;\-#,##0"/>
    <numFmt numFmtId="164" formatCode="[$$-540A]#,##0.00"/>
    <numFmt numFmtId="165" formatCode="0.000"/>
  </numFmts>
  <fonts count="57" x14ac:knownFonts="1">
    <font>
      <sz val="10"/>
      <color indexed="8"/>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i/>
      <sz val="12"/>
      <color theme="1"/>
      <name val="Century Gothic"/>
      <family val="2"/>
    </font>
    <font>
      <b/>
      <sz val="11"/>
      <color indexed="8"/>
      <name val="Century Gothic"/>
      <family val="2"/>
    </font>
    <font>
      <i/>
      <sz val="12"/>
      <color indexed="8"/>
      <name val="Century Gothic"/>
      <family val="2"/>
    </font>
    <font>
      <sz val="12"/>
      <color indexed="8"/>
      <name val="Century Gothic"/>
      <family val="2"/>
    </font>
    <font>
      <sz val="12"/>
      <color indexed="8"/>
      <name val="Arial"/>
      <family val="2"/>
    </font>
    <font>
      <b/>
      <sz val="24"/>
      <color indexed="8"/>
      <name val="Century Gothic"/>
      <family val="2"/>
    </font>
    <font>
      <b/>
      <sz val="12"/>
      <color indexed="8"/>
      <name val="Century Gothic"/>
      <family val="2"/>
    </font>
    <font>
      <b/>
      <sz val="12"/>
      <color theme="0"/>
      <name val="Century Gothic"/>
      <family val="2"/>
    </font>
    <font>
      <b/>
      <u/>
      <sz val="12"/>
      <color indexed="8"/>
      <name val="Century Gothic"/>
      <family val="2"/>
    </font>
    <font>
      <sz val="12"/>
      <color rgb="FF080000"/>
      <name val="Century Gothic"/>
      <family val="2"/>
    </font>
    <font>
      <b/>
      <sz val="48"/>
      <color indexed="8"/>
      <name val="Century Gothic"/>
      <family val="2"/>
    </font>
    <font>
      <i/>
      <sz val="16"/>
      <color indexed="8"/>
      <name val="Century Gothic"/>
      <family val="2"/>
    </font>
    <font>
      <sz val="16"/>
      <color indexed="8"/>
      <name val="Century Gothic"/>
      <family val="2"/>
    </font>
    <font>
      <b/>
      <sz val="14"/>
      <color indexed="8"/>
      <name val="Century Gothic"/>
      <family val="2"/>
    </font>
    <font>
      <b/>
      <sz val="16"/>
      <color indexed="8"/>
      <name val="Century Gothic"/>
      <family val="2"/>
    </font>
    <font>
      <b/>
      <sz val="22"/>
      <color indexed="8"/>
      <name val="Century Gothic"/>
      <family val="2"/>
    </font>
    <font>
      <b/>
      <i/>
      <sz val="18"/>
      <color rgb="FFFF0000"/>
      <name val="Century Gothic"/>
      <family val="2"/>
    </font>
    <font>
      <b/>
      <i/>
      <u/>
      <sz val="18"/>
      <color rgb="FFFF0000"/>
      <name val="Century Gothic"/>
      <family val="2"/>
    </font>
    <font>
      <sz val="10"/>
      <color indexed="8"/>
      <name val="Century Gothic"/>
      <family val="2"/>
    </font>
    <font>
      <sz val="10"/>
      <color theme="0"/>
      <name val="Century Gothic"/>
      <family val="2"/>
    </font>
    <font>
      <b/>
      <sz val="22"/>
      <color rgb="FFFF0000"/>
      <name val="Century Gothic"/>
      <family val="2"/>
    </font>
    <font>
      <i/>
      <sz val="16"/>
      <color rgb="FF000000"/>
      <name val="Century Gothic"/>
      <family val="2"/>
    </font>
    <font>
      <i/>
      <sz val="16"/>
      <color indexed="9"/>
      <name val="Century Gothic"/>
      <family val="2"/>
    </font>
    <font>
      <sz val="16"/>
      <color indexed="9"/>
      <name val="Century Gothic"/>
      <family val="2"/>
    </font>
    <font>
      <b/>
      <sz val="18"/>
      <color rgb="FFFF0000"/>
      <name val="Century Gothic"/>
      <family val="2"/>
    </font>
    <font>
      <b/>
      <sz val="20"/>
      <color rgb="FFFF0000"/>
      <name val="Century Gothic"/>
      <family val="2"/>
    </font>
    <font>
      <sz val="14"/>
      <color rgb="FF080000"/>
      <name val="Calibri"/>
      <family val="2"/>
    </font>
    <font>
      <b/>
      <i/>
      <sz val="16"/>
      <name val="Century Gothic"/>
      <family val="2"/>
    </font>
    <font>
      <sz val="14"/>
      <color indexed="8"/>
      <name val="Century Gothic"/>
      <family val="2"/>
    </font>
    <font>
      <sz val="14"/>
      <color theme="0"/>
      <name val="Century Gothic"/>
      <family val="2"/>
    </font>
    <font>
      <i/>
      <sz val="14"/>
      <color indexed="8"/>
      <name val="Century Gothic"/>
      <family val="2"/>
    </font>
    <font>
      <b/>
      <i/>
      <sz val="14"/>
      <color rgb="FFFF0000"/>
      <name val="Century Gothic"/>
      <family val="2"/>
    </font>
    <font>
      <sz val="14"/>
      <color rgb="FF080000"/>
      <name val="Century Gothic"/>
      <family val="2"/>
    </font>
    <font>
      <b/>
      <i/>
      <sz val="12"/>
      <color indexed="8"/>
      <name val="Century Gothic"/>
      <family val="2"/>
    </font>
    <font>
      <b/>
      <i/>
      <sz val="12"/>
      <color theme="0"/>
      <name val="Century Gothic"/>
      <family val="2"/>
    </font>
    <font>
      <sz val="22"/>
      <color indexed="8"/>
      <name val="Arial"/>
      <family val="2"/>
    </font>
    <font>
      <b/>
      <i/>
      <sz val="16"/>
      <color indexed="8"/>
      <name val="Arial"/>
      <family val="2"/>
    </font>
    <font>
      <sz val="14"/>
      <color rgb="FF000000"/>
      <name val="Arial"/>
      <family val="2"/>
    </font>
    <font>
      <sz val="14"/>
      <color indexed="8"/>
      <name val="Arial"/>
      <family val="2"/>
    </font>
    <font>
      <b/>
      <i/>
      <sz val="10"/>
      <color rgb="FF080000"/>
      <name val="Calibri"/>
      <family val="2"/>
    </font>
    <font>
      <b/>
      <sz val="16"/>
      <color rgb="FF080000"/>
      <name val="Calibri"/>
      <family val="2"/>
    </font>
  </fonts>
  <fills count="10">
    <fill>
      <patternFill patternType="none"/>
    </fill>
    <fill>
      <patternFill patternType="gray125"/>
    </fill>
    <fill>
      <patternFill patternType="solid">
        <fgColor theme="1"/>
        <bgColor indexed="64"/>
      </patternFill>
    </fill>
    <fill>
      <patternFill patternType="solid">
        <fgColor rgb="FF00B0F0"/>
        <bgColor indexed="64"/>
      </patternFill>
    </fill>
    <fill>
      <patternFill patternType="solid">
        <fgColor indexed="1"/>
      </patternFill>
    </fill>
    <fill>
      <patternFill patternType="solid">
        <fgColor rgb="FFF6C3FF"/>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0"/>
      </left>
      <right style="medium">
        <color theme="0"/>
      </right>
      <top style="medium">
        <color theme="0"/>
      </top>
      <bottom style="medium">
        <color theme="0"/>
      </bottom>
      <diagonal/>
    </border>
    <border>
      <left/>
      <right style="medium">
        <color theme="0"/>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top/>
      <bottom/>
      <diagonal/>
    </border>
    <border>
      <left style="thin">
        <color indexed="64"/>
      </left>
      <right style="thin">
        <color indexed="64"/>
      </right>
      <top/>
      <bottom style="thin">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s>
  <cellStyleXfs count="16">
    <xf numFmtId="0" fontId="0" fillId="0" borderId="0">
      <alignment vertical="top"/>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
    <xf numFmtId="0" fontId="0" fillId="0" borderId="0" xfId="0">
      <alignment vertical="top"/>
    </xf>
    <xf numFmtId="165" fontId="17" fillId="0" borderId="1" xfId="0" applyNumberFormat="1" applyFont="1" applyBorder="1" applyAlignment="1">
      <alignment horizontal="center" vertical="center" wrapText="1"/>
    </xf>
    <xf numFmtId="0" fontId="19" fillId="0" borderId="0" xfId="0" applyFont="1" applyAlignment="1">
      <alignment vertical="center" wrapText="1"/>
    </xf>
    <xf numFmtId="0" fontId="20"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0" xfId="0" applyFont="1" applyAlignment="1">
      <alignment vertical="center"/>
    </xf>
    <xf numFmtId="0" fontId="20" fillId="0" borderId="0" xfId="0" applyFont="1">
      <alignment vertical="top"/>
    </xf>
    <xf numFmtId="2" fontId="19" fillId="0" borderId="0" xfId="0" applyNumberFormat="1" applyFont="1" applyAlignment="1">
      <alignment vertical="center"/>
    </xf>
    <xf numFmtId="0" fontId="19" fillId="0" borderId="0" xfId="0" applyFont="1" applyAlignment="1">
      <alignment horizontal="left" vertical="center" wrapText="1"/>
    </xf>
    <xf numFmtId="164" fontId="23" fillId="0" borderId="11" xfId="0" applyNumberFormat="1" applyFont="1" applyBorder="1" applyAlignment="1">
      <alignment vertical="center"/>
    </xf>
    <xf numFmtId="0" fontId="22" fillId="0" borderId="0" xfId="0" applyFont="1" applyAlignment="1">
      <alignment horizontal="left" vertical="center" wrapText="1"/>
    </xf>
    <xf numFmtId="0" fontId="22" fillId="0" borderId="0" xfId="0" applyFont="1" applyAlignment="1">
      <alignment horizontal="center" vertical="center" wrapText="1"/>
    </xf>
    <xf numFmtId="0" fontId="24" fillId="0" borderId="0" xfId="0" applyFont="1" applyAlignment="1">
      <alignment vertical="center" wrapText="1"/>
    </xf>
    <xf numFmtId="0" fontId="21" fillId="0" borderId="0" xfId="0" applyFont="1" applyAlignment="1">
      <alignment horizontal="left" vertical="center" wrapText="1"/>
    </xf>
    <xf numFmtId="2" fontId="19" fillId="0" borderId="0" xfId="0" applyNumberFormat="1" applyFont="1" applyAlignment="1">
      <alignment horizontal="center" vertical="center"/>
    </xf>
    <xf numFmtId="0" fontId="27" fillId="0" borderId="0" xfId="0" applyFont="1" applyAlignment="1">
      <alignment horizontal="left" vertical="center" wrapText="1"/>
    </xf>
    <xf numFmtId="2" fontId="25" fillId="0" borderId="0" xfId="0" applyNumberFormat="1" applyFont="1" applyAlignment="1">
      <alignment horizontal="center" vertical="top" wrapText="1" readingOrder="1"/>
    </xf>
    <xf numFmtId="164" fontId="29" fillId="0" borderId="25" xfId="0" applyNumberFormat="1" applyFont="1" applyBorder="1" applyAlignment="1">
      <alignment horizontal="center" vertical="center"/>
    </xf>
    <xf numFmtId="0" fontId="27" fillId="0" borderId="0" xfId="0" applyFont="1" applyAlignment="1">
      <alignment horizontal="center" vertical="center" wrapText="1"/>
    </xf>
    <xf numFmtId="0" fontId="18" fillId="0" borderId="0" xfId="0" applyFont="1" applyAlignment="1">
      <alignment horizontal="center" vertical="center" wrapText="1"/>
    </xf>
    <xf numFmtId="0" fontId="35" fillId="2" borderId="1" xfId="0" applyFont="1" applyFill="1" applyBorder="1" applyAlignment="1">
      <alignment horizontal="center" vertical="center" wrapText="1"/>
    </xf>
    <xf numFmtId="2" fontId="35" fillId="2" borderId="1" xfId="0" applyNumberFormat="1" applyFont="1" applyFill="1" applyBorder="1" applyAlignment="1">
      <alignment horizontal="center" vertical="center" wrapText="1"/>
    </xf>
    <xf numFmtId="0" fontId="34" fillId="0" borderId="0" xfId="0" applyFont="1" applyAlignment="1">
      <alignment vertical="center"/>
    </xf>
    <xf numFmtId="0" fontId="16" fillId="0" borderId="12" xfId="0" applyFont="1" applyBorder="1" applyAlignment="1">
      <alignment horizontal="right" vertical="center"/>
    </xf>
    <xf numFmtId="0" fontId="28" fillId="0" borderId="0" xfId="0" applyFont="1" applyAlignment="1">
      <alignment horizontal="left" vertical="center"/>
    </xf>
    <xf numFmtId="6" fontId="42" fillId="4" borderId="1" xfId="0" applyNumberFormat="1" applyFont="1" applyFill="1" applyBorder="1" applyAlignment="1">
      <alignment horizontal="center" vertical="center" wrapText="1" readingOrder="1"/>
    </xf>
    <xf numFmtId="0" fontId="44" fillId="0" borderId="0" xfId="0" applyFont="1" applyAlignment="1">
      <alignment horizontal="center" vertical="center"/>
    </xf>
    <xf numFmtId="0" fontId="45" fillId="2" borderId="1" xfId="0" applyFont="1" applyFill="1" applyBorder="1" applyAlignment="1">
      <alignment horizontal="center" vertical="center" wrapText="1"/>
    </xf>
    <xf numFmtId="0" fontId="46" fillId="0" borderId="0" xfId="0" applyFont="1" applyAlignment="1">
      <alignment horizontal="left" vertical="center" wrapText="1"/>
    </xf>
    <xf numFmtId="0" fontId="47" fillId="0" borderId="24" xfId="0" applyFont="1" applyBorder="1" applyAlignment="1">
      <alignment horizontal="center" vertical="center" wrapText="1"/>
    </xf>
    <xf numFmtId="6" fontId="48" fillId="0" borderId="0" xfId="0" applyNumberFormat="1" applyFont="1" applyAlignment="1">
      <alignment horizontal="center" vertical="center" wrapText="1" readingOrder="1"/>
    </xf>
    <xf numFmtId="0" fontId="46" fillId="0" borderId="0" xfId="0" applyFont="1" applyAlignment="1">
      <alignment horizontal="center" vertical="center" wrapText="1"/>
    </xf>
    <xf numFmtId="0" fontId="49" fillId="0" borderId="0" xfId="0" applyFont="1" applyAlignment="1">
      <alignment horizontal="center" vertical="center" wrapText="1"/>
    </xf>
    <xf numFmtId="0" fontId="50" fillId="2" borderId="1" xfId="0" applyFont="1" applyFill="1" applyBorder="1" applyAlignment="1">
      <alignment horizontal="center" vertical="center" wrapText="1"/>
    </xf>
    <xf numFmtId="6" fontId="42" fillId="6" borderId="1" xfId="0" applyNumberFormat="1" applyFont="1" applyFill="1" applyBorder="1" applyAlignment="1">
      <alignment horizontal="center" vertical="center" wrapText="1" readingOrder="1"/>
    </xf>
    <xf numFmtId="164" fontId="43" fillId="6" borderId="1" xfId="0" applyNumberFormat="1" applyFont="1" applyFill="1" applyBorder="1" applyAlignment="1">
      <alignment vertical="center" wrapText="1"/>
    </xf>
    <xf numFmtId="0" fontId="44" fillId="0" borderId="0" xfId="0" applyFont="1" applyAlignment="1">
      <alignment horizontal="center" vertical="center" wrapText="1"/>
    </xf>
    <xf numFmtId="6" fontId="42" fillId="7" borderId="1" xfId="0" applyNumberFormat="1" applyFont="1" applyFill="1" applyBorder="1" applyAlignment="1">
      <alignment horizontal="center" vertical="center" wrapText="1" readingOrder="1"/>
    </xf>
    <xf numFmtId="164" fontId="43" fillId="7" borderId="1" xfId="0" applyNumberFormat="1" applyFont="1" applyFill="1" applyBorder="1" applyAlignment="1">
      <alignment vertical="center" wrapText="1"/>
    </xf>
    <xf numFmtId="0" fontId="37" fillId="0" borderId="5" xfId="0" applyFont="1" applyBorder="1" applyAlignment="1">
      <alignment horizontal="center" vertical="center" wrapText="1"/>
    </xf>
    <xf numFmtId="0" fontId="37" fillId="0" borderId="6" xfId="0" applyFont="1" applyBorder="1" applyAlignment="1">
      <alignment horizontal="center" vertical="center" wrapText="1"/>
    </xf>
    <xf numFmtId="0" fontId="37" fillId="0" borderId="7"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9" xfId="0" applyFont="1" applyBorder="1" applyAlignment="1">
      <alignment horizontal="center" vertical="center" wrapText="1"/>
    </xf>
    <xf numFmtId="0" fontId="37" fillId="0" borderId="10" xfId="0" applyFont="1" applyBorder="1" applyAlignment="1">
      <alignment horizontal="center" vertical="center" wrapText="1"/>
    </xf>
    <xf numFmtId="0" fontId="20" fillId="0" borderId="0" xfId="0" applyFont="1" applyAlignment="1">
      <alignment horizontal="center" vertical="top"/>
    </xf>
    <xf numFmtId="0" fontId="36" fillId="7" borderId="2"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4" xfId="0" applyFont="1" applyFill="1" applyBorder="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6" fillId="0" borderId="15" xfId="0" applyFont="1" applyBorder="1" applyAlignment="1">
      <alignment horizontal="center" vertical="center"/>
    </xf>
    <xf numFmtId="14" fontId="30" fillId="0" borderId="0" xfId="0" applyNumberFormat="1" applyFont="1" applyAlignment="1">
      <alignment horizontal="center" vertical="center" wrapText="1"/>
    </xf>
    <xf numFmtId="0" fontId="31" fillId="5" borderId="2" xfId="0" applyFont="1" applyFill="1" applyBorder="1" applyAlignment="1">
      <alignment horizontal="center" vertical="center"/>
    </xf>
    <xf numFmtId="0" fontId="31" fillId="5" borderId="3" xfId="0" applyFont="1" applyFill="1" applyBorder="1" applyAlignment="1">
      <alignment horizontal="center" vertical="center"/>
    </xf>
    <xf numFmtId="0" fontId="31" fillId="5" borderId="4" xfId="0" applyFont="1" applyFill="1" applyBorder="1" applyAlignment="1">
      <alignment horizontal="center" vertical="center"/>
    </xf>
    <xf numFmtId="2" fontId="32" fillId="0" borderId="26" xfId="0" applyNumberFormat="1" applyFont="1" applyBorder="1" applyAlignment="1">
      <alignment horizontal="center" vertical="center" wrapText="1"/>
    </xf>
    <xf numFmtId="2" fontId="32" fillId="0" borderId="27" xfId="0" applyNumberFormat="1" applyFont="1" applyBorder="1" applyAlignment="1">
      <alignment horizontal="center" vertical="center" wrapText="1"/>
    </xf>
    <xf numFmtId="2" fontId="32" fillId="0" borderId="28" xfId="0" applyNumberFormat="1" applyFont="1" applyBorder="1" applyAlignment="1">
      <alignment horizontal="center" vertical="center" wrapText="1"/>
    </xf>
    <xf numFmtId="2" fontId="32" fillId="0" borderId="29" xfId="0" applyNumberFormat="1" applyFont="1" applyBorder="1" applyAlignment="1">
      <alignment horizontal="center" vertical="center" wrapText="1"/>
    </xf>
    <xf numFmtId="0" fontId="32" fillId="0" borderId="24" xfId="0" applyFont="1" applyBorder="1" applyAlignment="1">
      <alignment horizontal="right" vertical="center" wrapText="1"/>
    </xf>
    <xf numFmtId="0" fontId="32" fillId="0" borderId="33" xfId="0" applyFont="1" applyBorder="1" applyAlignment="1">
      <alignment horizontal="right" vertical="center" wrapText="1"/>
    </xf>
    <xf numFmtId="2" fontId="41" fillId="0" borderId="30" xfId="0" applyNumberFormat="1" applyFont="1" applyBorder="1" applyAlignment="1">
      <alignment horizontal="center" vertical="center"/>
    </xf>
    <xf numFmtId="2" fontId="40" fillId="8" borderId="31" xfId="0" applyNumberFormat="1" applyFont="1" applyFill="1" applyBorder="1" applyAlignment="1">
      <alignment horizontal="center" vertical="center"/>
    </xf>
    <xf numFmtId="2" fontId="40" fillId="8" borderId="32" xfId="0" applyNumberFormat="1" applyFont="1" applyFill="1" applyBorder="1" applyAlignment="1">
      <alignment horizontal="center" vertical="center"/>
    </xf>
    <xf numFmtId="0" fontId="52" fillId="0" borderId="21" xfId="0" applyFont="1" applyBorder="1" applyAlignment="1">
      <alignment horizontal="center" vertical="center" wrapText="1"/>
    </xf>
    <xf numFmtId="0" fontId="52" fillId="0" borderId="22" xfId="0" applyFont="1" applyBorder="1" applyAlignment="1">
      <alignment horizontal="center" vertical="center" wrapText="1"/>
    </xf>
    <xf numFmtId="0" fontId="52" fillId="0" borderId="23" xfId="0" applyFont="1" applyBorder="1" applyAlignment="1">
      <alignment horizontal="center" vertical="center" wrapText="1"/>
    </xf>
    <xf numFmtId="0" fontId="51" fillId="0" borderId="16" xfId="0" applyFont="1" applyBorder="1" applyAlignment="1">
      <alignment horizontal="center" vertical="center" wrapText="1"/>
    </xf>
    <xf numFmtId="0" fontId="51" fillId="0" borderId="17" xfId="0" applyFont="1" applyBorder="1" applyAlignment="1">
      <alignment horizontal="center" vertical="center" wrapText="1"/>
    </xf>
    <xf numFmtId="0" fontId="51" fillId="0" borderId="18" xfId="0" applyFont="1" applyBorder="1" applyAlignment="1">
      <alignment horizontal="center" vertical="center" wrapText="1"/>
    </xf>
    <xf numFmtId="0" fontId="51" fillId="0" borderId="19" xfId="0" applyFont="1" applyBorder="1" applyAlignment="1">
      <alignment horizontal="center" vertical="center" wrapText="1"/>
    </xf>
    <xf numFmtId="0" fontId="51" fillId="0" borderId="0" xfId="0" applyFont="1" applyAlignment="1">
      <alignment horizontal="center" vertical="center" wrapText="1"/>
    </xf>
    <xf numFmtId="0" fontId="51" fillId="0" borderId="20" xfId="0" applyFont="1" applyBorder="1" applyAlignment="1">
      <alignment horizontal="center" vertical="center" wrapText="1"/>
    </xf>
    <xf numFmtId="0" fontId="24" fillId="0" borderId="0" xfId="0" applyFont="1" applyAlignment="1">
      <alignment horizontal="center" vertical="center" wrapText="1"/>
    </xf>
    <xf numFmtId="0" fontId="31" fillId="3" borderId="2" xfId="0" applyFont="1" applyFill="1" applyBorder="1" applyAlignment="1">
      <alignment horizontal="center" vertical="center"/>
    </xf>
    <xf numFmtId="0" fontId="31" fillId="3" borderId="3" xfId="0" applyFont="1" applyFill="1" applyBorder="1" applyAlignment="1">
      <alignment horizontal="center" vertical="center"/>
    </xf>
    <xf numFmtId="0" fontId="31" fillId="3" borderId="4" xfId="0" applyFont="1" applyFill="1" applyBorder="1" applyAlignment="1">
      <alignment horizontal="center" vertical="center"/>
    </xf>
    <xf numFmtId="0" fontId="27" fillId="0" borderId="0" xfId="0" applyFont="1" applyAlignment="1">
      <alignment horizontal="left" vertical="center" wrapText="1"/>
    </xf>
    <xf numFmtId="0" fontId="33" fillId="0" borderId="0" xfId="0" applyFont="1" applyAlignment="1">
      <alignment horizontal="left" vertical="center"/>
    </xf>
    <xf numFmtId="164" fontId="43" fillId="0" borderId="1" xfId="0" applyNumberFormat="1" applyFont="1" applyFill="1" applyBorder="1" applyAlignment="1">
      <alignment vertical="center" wrapText="1"/>
    </xf>
    <xf numFmtId="6" fontId="42" fillId="4" borderId="1" xfId="0" applyNumberFormat="1" applyFont="1" applyFill="1" applyBorder="1" applyAlignment="1">
      <alignment horizontal="left" vertical="center" wrapText="1" readingOrder="1"/>
    </xf>
    <xf numFmtId="0" fontId="19" fillId="0" borderId="0" xfId="0" applyFont="1" applyAlignment="1">
      <alignment horizontal="right" vertical="center" wrapText="1"/>
    </xf>
    <xf numFmtId="0" fontId="47" fillId="0" borderId="0" xfId="0" applyFont="1" applyAlignment="1">
      <alignment horizontal="right" vertical="center"/>
    </xf>
    <xf numFmtId="0" fontId="53" fillId="0" borderId="1" xfId="0" applyFont="1" applyFill="1" applyBorder="1" applyAlignment="1">
      <alignment horizontal="center" vertical="center" wrapText="1"/>
    </xf>
    <xf numFmtId="0" fontId="54" fillId="0" borderId="1" xfId="0" applyFont="1" applyFill="1" applyBorder="1" applyAlignment="1">
      <alignment horizontal="center" vertical="center" wrapText="1"/>
    </xf>
    <xf numFmtId="0" fontId="54" fillId="0" borderId="1" xfId="0" applyFont="1" applyFill="1" applyBorder="1" applyAlignment="1">
      <alignment horizontal="left" vertical="center" wrapText="1"/>
    </xf>
    <xf numFmtId="6" fontId="42" fillId="7" borderId="1" xfId="0" applyNumberFormat="1" applyFont="1" applyFill="1" applyBorder="1" applyAlignment="1">
      <alignment horizontal="left" vertical="center" wrapText="1" readingOrder="1"/>
    </xf>
    <xf numFmtId="0" fontId="53" fillId="7" borderId="1" xfId="0" applyFont="1" applyFill="1" applyBorder="1" applyAlignment="1">
      <alignment horizontal="center" vertical="center" wrapText="1"/>
    </xf>
    <xf numFmtId="6" fontId="42" fillId="6" borderId="1" xfId="0" applyNumberFormat="1" applyFont="1" applyFill="1" applyBorder="1" applyAlignment="1">
      <alignment horizontal="left" vertical="center" wrapText="1" readingOrder="1"/>
    </xf>
    <xf numFmtId="0" fontId="53" fillId="6" borderId="1" xfId="0" applyFont="1" applyFill="1" applyBorder="1" applyAlignment="1">
      <alignment horizontal="center" vertical="center" wrapText="1"/>
    </xf>
    <xf numFmtId="0" fontId="54" fillId="6" borderId="1" xfId="0" applyFont="1" applyFill="1" applyBorder="1" applyAlignment="1">
      <alignment horizontal="center" vertical="center" wrapText="1"/>
    </xf>
    <xf numFmtId="6" fontId="55" fillId="7" borderId="1" xfId="0" applyNumberFormat="1" applyFont="1" applyFill="1" applyBorder="1" applyAlignment="1">
      <alignment horizontal="center" vertical="center" wrapText="1" readingOrder="1"/>
    </xf>
    <xf numFmtId="6" fontId="55" fillId="4" borderId="1" xfId="0" applyNumberFormat="1" applyFont="1" applyFill="1" applyBorder="1" applyAlignment="1">
      <alignment horizontal="center" vertical="center" wrapText="1" readingOrder="1"/>
    </xf>
    <xf numFmtId="6" fontId="55" fillId="6" borderId="1" xfId="0" applyNumberFormat="1" applyFont="1" applyFill="1" applyBorder="1" applyAlignment="1">
      <alignment horizontal="center" vertical="center" wrapText="1" readingOrder="1"/>
    </xf>
    <xf numFmtId="2" fontId="56" fillId="9" borderId="1" xfId="0" applyNumberFormat="1" applyFont="1" applyFill="1" applyBorder="1" applyAlignment="1">
      <alignment horizontal="right" vertical="center" wrapText="1" readingOrder="1"/>
    </xf>
  </cellXfs>
  <cellStyles count="16">
    <cellStyle name="Normal" xfId="0" builtinId="0"/>
    <cellStyle name="Normal 10" xfId="9" xr:uid="{00000000-0005-0000-0000-000001000000}"/>
    <cellStyle name="Normal 11" xfId="10" xr:uid="{00000000-0005-0000-0000-000002000000}"/>
    <cellStyle name="Normal 12" xfId="11" xr:uid="{00000000-0005-0000-0000-000003000000}"/>
    <cellStyle name="Normal 13" xfId="12" xr:uid="{00000000-0005-0000-0000-000004000000}"/>
    <cellStyle name="Normal 14" xfId="13" xr:uid="{00000000-0005-0000-0000-000005000000}"/>
    <cellStyle name="Normal 15" xfId="14" xr:uid="{00000000-0005-0000-0000-000006000000}"/>
    <cellStyle name="Normal 16" xfId="15" xr:uid="{00000000-0005-0000-0000-000007000000}"/>
    <cellStyle name="Normal 2" xfId="1" xr:uid="{00000000-0005-0000-0000-000008000000}"/>
    <cellStyle name="Normal 3" xfId="2" xr:uid="{00000000-0005-0000-0000-000009000000}"/>
    <cellStyle name="Normal 4" xfId="3" xr:uid="{00000000-0005-0000-0000-00000A000000}"/>
    <cellStyle name="Normal 5" xfId="4" xr:uid="{00000000-0005-0000-0000-00000B000000}"/>
    <cellStyle name="Normal 6" xfId="5" xr:uid="{00000000-0005-0000-0000-00000C000000}"/>
    <cellStyle name="Normal 7" xfId="6" xr:uid="{00000000-0005-0000-0000-00000D000000}"/>
    <cellStyle name="Normal 8" xfId="7" xr:uid="{00000000-0005-0000-0000-00000E000000}"/>
    <cellStyle name="Normal 9" xfId="8" xr:uid="{00000000-0005-0000-0000-00000F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mruColors>
      <color rgb="FF000000"/>
      <color rgb="FF728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5.jpeg"/><Relationship Id="rId5" Type="http://schemas.microsoft.com/office/2007/relationships/hdphoto" Target="../media/hdphoto1.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1393031</xdr:colOff>
      <xdr:row>8</xdr:row>
      <xdr:rowOff>96309</xdr:rowOff>
    </xdr:from>
    <xdr:to>
      <xdr:col>2</xdr:col>
      <xdr:colOff>2220383</xdr:colOff>
      <xdr:row>9</xdr:row>
      <xdr:rowOff>472457</xdr:rowOff>
    </xdr:to>
    <xdr:pic>
      <xdr:nvPicPr>
        <xdr:cNvPr id="1206" name="Imagen 3" descr="BCV - Poderopedia Venezuela">
          <a:extLst>
            <a:ext uri="{FF2B5EF4-FFF2-40B4-BE49-F238E27FC236}">
              <a16:creationId xmlns:a16="http://schemas.microsoft.com/office/drawing/2014/main" id="{4CBD73EF-33CE-A79F-83FC-79000E70E5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12406" y="3180028"/>
          <a:ext cx="827352" cy="733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7</xdr:row>
      <xdr:rowOff>0</xdr:rowOff>
    </xdr:from>
    <xdr:to>
      <xdr:col>8</xdr:col>
      <xdr:colOff>304800</xdr:colOff>
      <xdr:row>7</xdr:row>
      <xdr:rowOff>304800</xdr:rowOff>
    </xdr:to>
    <xdr:sp macro="" textlink="">
      <xdr:nvSpPr>
        <xdr:cNvPr id="1028" name="AutoShape 4" descr="Imágenes de Mujer señalar libres de derechos | Depositphotos">
          <a:extLst>
            <a:ext uri="{FF2B5EF4-FFF2-40B4-BE49-F238E27FC236}">
              <a16:creationId xmlns:a16="http://schemas.microsoft.com/office/drawing/2014/main" id="{01034BB7-9666-2CC4-A446-65A749EF1896}"/>
            </a:ext>
          </a:extLst>
        </xdr:cNvPr>
        <xdr:cNvSpPr>
          <a:spLocks noChangeAspect="1" noChangeArrowheads="1"/>
        </xdr:cNvSpPr>
      </xdr:nvSpPr>
      <xdr:spPr bwMode="auto">
        <a:xfrm>
          <a:off x="11572875" y="226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642937</xdr:colOff>
      <xdr:row>0</xdr:row>
      <xdr:rowOff>0</xdr:rowOff>
    </xdr:from>
    <xdr:to>
      <xdr:col>2</xdr:col>
      <xdr:colOff>1666874</xdr:colOff>
      <xdr:row>6</xdr:row>
      <xdr:rowOff>59531</xdr:rowOff>
    </xdr:to>
    <xdr:pic>
      <xdr:nvPicPr>
        <xdr:cNvPr id="16" name="Imagen 15">
          <a:extLst>
            <a:ext uri="{FF2B5EF4-FFF2-40B4-BE49-F238E27FC236}">
              <a16:creationId xmlns:a16="http://schemas.microsoft.com/office/drawing/2014/main" id="{55D7066B-C4BB-3A3F-BD1D-587201CEA4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2937" y="0"/>
          <a:ext cx="3643312" cy="2440781"/>
        </a:xfrm>
        <a:prstGeom prst="rect">
          <a:avLst/>
        </a:prstGeom>
      </xdr:spPr>
    </xdr:pic>
    <xdr:clientData/>
  </xdr:twoCellAnchor>
  <xdr:twoCellAnchor editAs="oneCell">
    <xdr:from>
      <xdr:col>8</xdr:col>
      <xdr:colOff>130969</xdr:colOff>
      <xdr:row>0</xdr:row>
      <xdr:rowOff>0</xdr:rowOff>
    </xdr:from>
    <xdr:to>
      <xdr:col>17</xdr:col>
      <xdr:colOff>476250</xdr:colOff>
      <xdr:row>12</xdr:row>
      <xdr:rowOff>233597</xdr:rowOff>
    </xdr:to>
    <xdr:pic>
      <xdr:nvPicPr>
        <xdr:cNvPr id="3" name="Imagen 2">
          <a:extLst>
            <a:ext uri="{FF2B5EF4-FFF2-40B4-BE49-F238E27FC236}">
              <a16:creationId xmlns:a16="http://schemas.microsoft.com/office/drawing/2014/main" id="{87D2CB9E-2AD5-EA54-9DFA-6E9F47C9AC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823157" y="0"/>
          <a:ext cx="5083968" cy="4972285"/>
        </a:xfrm>
        <a:prstGeom prst="rect">
          <a:avLst/>
        </a:prstGeom>
      </xdr:spPr>
    </xdr:pic>
    <xdr:clientData/>
  </xdr:twoCellAnchor>
  <xdr:twoCellAnchor editAs="oneCell">
    <xdr:from>
      <xdr:col>6</xdr:col>
      <xdr:colOff>71437</xdr:colOff>
      <xdr:row>7</xdr:row>
      <xdr:rowOff>107357</xdr:rowOff>
    </xdr:from>
    <xdr:to>
      <xdr:col>7</xdr:col>
      <xdr:colOff>821531</xdr:colOff>
      <xdr:row>10</xdr:row>
      <xdr:rowOff>23813</xdr:rowOff>
    </xdr:to>
    <xdr:pic>
      <xdr:nvPicPr>
        <xdr:cNvPr id="4" name="Imagen 3">
          <a:extLst>
            <a:ext uri="{FF2B5EF4-FFF2-40B4-BE49-F238E27FC236}">
              <a16:creationId xmlns:a16="http://schemas.microsoft.com/office/drawing/2014/main" id="{4105528E-4410-6858-11DF-247B65B785AE}"/>
            </a:ext>
          </a:extLst>
        </xdr:cNvPr>
        <xdr:cNvPicPr>
          <a:picLocks noChangeAspect="1"/>
        </xdr:cNvPicPr>
      </xdr:nvPicPr>
      <xdr:blipFill rotWithShape="1">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rcRect l="14958" t="11269" r="14975" b="10247"/>
        <a:stretch>
          <a:fillRect/>
        </a:stretch>
      </xdr:blipFill>
      <xdr:spPr>
        <a:xfrm>
          <a:off x="12215812" y="2643388"/>
          <a:ext cx="1369219" cy="1499988"/>
        </a:xfrm>
        <a:prstGeom prst="rect">
          <a:avLst/>
        </a:prstGeom>
      </xdr:spPr>
    </xdr:pic>
    <xdr:clientData/>
  </xdr:twoCellAnchor>
  <xdr:twoCellAnchor editAs="oneCell">
    <xdr:from>
      <xdr:col>8</xdr:col>
      <xdr:colOff>178593</xdr:colOff>
      <xdr:row>12</xdr:row>
      <xdr:rowOff>345280</xdr:rowOff>
    </xdr:from>
    <xdr:to>
      <xdr:col>17</xdr:col>
      <xdr:colOff>500061</xdr:colOff>
      <xdr:row>25</xdr:row>
      <xdr:rowOff>178592</xdr:rowOff>
    </xdr:to>
    <xdr:pic>
      <xdr:nvPicPr>
        <xdr:cNvPr id="5" name="Imagen 4">
          <a:extLst>
            <a:ext uri="{FF2B5EF4-FFF2-40B4-BE49-F238E27FC236}">
              <a16:creationId xmlns:a16="http://schemas.microsoft.com/office/drawing/2014/main" id="{CC31AF2D-480C-F8AF-1C37-8F4AE6744B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870781" y="5083968"/>
          <a:ext cx="5060155" cy="506015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T456"/>
  <sheetViews>
    <sheetView showGridLines="0" tabSelected="1" showOutlineSymbols="0" zoomScale="80" zoomScaleNormal="80" workbookViewId="0">
      <selection activeCell="K29" sqref="K29"/>
    </sheetView>
  </sheetViews>
  <sheetFormatPr baseColWidth="10" defaultColWidth="6.85546875" defaultRowHeight="26.25" customHeight="1" x14ac:dyDescent="0.2"/>
  <cols>
    <col min="1" max="1" width="21" style="27" customWidth="1"/>
    <col min="2" max="2" width="18.140625" style="37" customWidth="1"/>
    <col min="3" max="3" width="34.5703125" style="33" customWidth="1"/>
    <col min="4" max="4" width="82.28515625" style="9" customWidth="1"/>
    <col min="5" max="5" width="9.7109375" style="5" customWidth="1"/>
    <col min="6" max="6" width="16.28515625" style="27" customWidth="1"/>
    <col min="7" max="7" width="9.28515625" style="15" customWidth="1"/>
    <col min="8" max="8" width="13.85546875" style="4" customWidth="1"/>
    <col min="9" max="9" width="6.85546875" style="6"/>
    <col min="10" max="10" width="14.28515625" style="6" customWidth="1"/>
    <col min="11" max="15" width="6.85546875" style="6"/>
    <col min="16" max="16" width="9.28515625" style="6" bestFit="1" customWidth="1"/>
    <col min="17" max="17" width="6.85546875" style="6"/>
    <col min="18" max="18" width="9.85546875" style="6" customWidth="1"/>
    <col min="19" max="19" width="12.7109375" style="6" bestFit="1" customWidth="1"/>
    <col min="20" max="21" width="6.85546875" style="6"/>
    <col min="22" max="22" width="9.5703125" style="6" bestFit="1" customWidth="1"/>
    <col min="23" max="16384" width="6.85546875" style="6"/>
  </cols>
  <sheetData>
    <row r="1" spans="1:20" ht="26.25" customHeight="1" thickTop="1" x14ac:dyDescent="0.2">
      <c r="D1" s="69" t="s">
        <v>1014</v>
      </c>
      <c r="E1" s="70"/>
      <c r="F1" s="70"/>
      <c r="G1" s="70"/>
      <c r="H1" s="71"/>
    </row>
    <row r="2" spans="1:20" ht="44.25" customHeight="1" x14ac:dyDescent="0.2">
      <c r="D2" s="72"/>
      <c r="E2" s="73"/>
      <c r="F2" s="73"/>
      <c r="G2" s="73"/>
      <c r="H2" s="74"/>
    </row>
    <row r="3" spans="1:20" ht="26.25" customHeight="1" x14ac:dyDescent="0.2">
      <c r="D3" s="72"/>
      <c r="E3" s="73"/>
      <c r="F3" s="73"/>
      <c r="G3" s="73"/>
      <c r="H3" s="74"/>
      <c r="Q3" s="7"/>
    </row>
    <row r="4" spans="1:20" ht="29.25" customHeight="1" x14ac:dyDescent="0.2">
      <c r="D4" s="72"/>
      <c r="E4" s="73"/>
      <c r="F4" s="73"/>
      <c r="G4" s="73"/>
      <c r="H4" s="74"/>
      <c r="R4" s="8"/>
    </row>
    <row r="5" spans="1:20" ht="47.25" customHeight="1" thickBot="1" x14ac:dyDescent="0.25">
      <c r="D5" s="66" t="s">
        <v>1015</v>
      </c>
      <c r="E5" s="67"/>
      <c r="F5" s="67"/>
      <c r="G5" s="67"/>
      <c r="H5" s="68"/>
      <c r="L5"/>
      <c r="R5" s="3"/>
      <c r="S5" s="7"/>
    </row>
    <row r="6" spans="1:20" ht="15" customHeight="1" thickTop="1" thickBot="1" x14ac:dyDescent="0.25">
      <c r="D6" s="46"/>
      <c r="E6" s="46"/>
      <c r="F6" s="46"/>
      <c r="G6" s="46"/>
      <c r="H6" s="46"/>
      <c r="S6" s="7"/>
    </row>
    <row r="7" spans="1:20" ht="12" customHeight="1" thickBot="1" x14ac:dyDescent="0.25">
      <c r="I7" s="24"/>
      <c r="J7" s="10"/>
    </row>
    <row r="8" spans="1:20" ht="54.75" customHeight="1" thickTop="1" thickBot="1" x14ac:dyDescent="0.25">
      <c r="A8" s="50" t="s">
        <v>6</v>
      </c>
      <c r="B8" s="51"/>
      <c r="C8" s="51"/>
      <c r="D8" s="51"/>
      <c r="E8" s="51"/>
      <c r="F8" s="51"/>
      <c r="G8" s="51"/>
      <c r="H8" s="52"/>
    </row>
    <row r="9" spans="1:20" ht="28.5" customHeight="1" thickTop="1" x14ac:dyDescent="0.2">
      <c r="E9" s="53">
        <v>46301</v>
      </c>
      <c r="F9" s="53"/>
      <c r="K9" s="75"/>
      <c r="L9" s="75"/>
      <c r="M9" s="75"/>
      <c r="N9" s="75"/>
      <c r="O9" s="75"/>
      <c r="P9" s="75"/>
      <c r="Q9" s="75"/>
    </row>
    <row r="10" spans="1:20" ht="42" customHeight="1" thickBot="1" x14ac:dyDescent="0.25">
      <c r="D10" s="14" t="s">
        <v>3</v>
      </c>
      <c r="E10" s="1">
        <v>872.39200000000005</v>
      </c>
      <c r="F10" s="30"/>
      <c r="K10" s="75"/>
      <c r="L10" s="75"/>
      <c r="M10" s="75"/>
      <c r="N10" s="75"/>
      <c r="O10" s="75"/>
      <c r="P10" s="75"/>
      <c r="Q10" s="75"/>
    </row>
    <row r="11" spans="1:20" ht="20.25" customHeight="1" x14ac:dyDescent="0.2">
      <c r="D11" s="11"/>
      <c r="E11" s="12"/>
      <c r="G11" s="57">
        <f>H449</f>
        <v>0</v>
      </c>
      <c r="H11" s="58"/>
    </row>
    <row r="12" spans="1:20" ht="27.75" customHeight="1" thickBot="1" x14ac:dyDescent="0.25">
      <c r="A12" s="76" t="s">
        <v>12</v>
      </c>
      <c r="B12" s="77"/>
      <c r="C12" s="77"/>
      <c r="D12" s="78"/>
      <c r="E12" s="61" t="s">
        <v>456</v>
      </c>
      <c r="F12" s="62"/>
      <c r="G12" s="59"/>
      <c r="H12" s="60"/>
      <c r="I12" s="13"/>
      <c r="J12" s="13"/>
    </row>
    <row r="13" spans="1:20" ht="27.75" customHeight="1" thickBot="1" x14ac:dyDescent="0.25">
      <c r="A13" s="54" t="s">
        <v>13</v>
      </c>
      <c r="B13" s="55"/>
      <c r="C13" s="55"/>
      <c r="D13" s="56"/>
      <c r="E13" s="83"/>
      <c r="F13" s="84" t="s">
        <v>967</v>
      </c>
      <c r="G13" s="63">
        <f>G11*5%</f>
        <v>0</v>
      </c>
      <c r="H13" s="63"/>
      <c r="I13" s="13"/>
      <c r="J13" s="13"/>
    </row>
    <row r="14" spans="1:20" ht="27.75" customHeight="1" thickBot="1" x14ac:dyDescent="0.25">
      <c r="A14" s="47" t="s">
        <v>521</v>
      </c>
      <c r="B14" s="48"/>
      <c r="C14" s="48"/>
      <c r="D14" s="49"/>
      <c r="E14" s="83"/>
      <c r="F14" s="84" t="s">
        <v>966</v>
      </c>
      <c r="G14" s="64">
        <f>G11-G13</f>
        <v>0</v>
      </c>
      <c r="H14" s="65"/>
    </row>
    <row r="15" spans="1:20" ht="21" customHeight="1" x14ac:dyDescent="0.2">
      <c r="H15" s="25"/>
    </row>
    <row r="16" spans="1:20" ht="3" customHeight="1" x14ac:dyDescent="0.2">
      <c r="H16" s="25"/>
      <c r="T16" s="7"/>
    </row>
    <row r="17" spans="1:8" s="23" customFormat="1" ht="39.75" customHeight="1" x14ac:dyDescent="0.2">
      <c r="A17" s="28" t="s">
        <v>7</v>
      </c>
      <c r="B17" s="28" t="s">
        <v>1</v>
      </c>
      <c r="C17" s="34" t="s">
        <v>791</v>
      </c>
      <c r="D17" s="21" t="s">
        <v>4</v>
      </c>
      <c r="E17" s="21" t="s">
        <v>5</v>
      </c>
      <c r="F17" s="28" t="s">
        <v>0</v>
      </c>
      <c r="G17" s="22" t="s">
        <v>2</v>
      </c>
      <c r="H17" s="21" t="s">
        <v>856</v>
      </c>
    </row>
    <row r="18" spans="1:8" s="2" customFormat="1" ht="36.75" customHeight="1" x14ac:dyDescent="0.2">
      <c r="A18" s="38" t="s">
        <v>15</v>
      </c>
      <c r="B18" s="38" t="s">
        <v>16</v>
      </c>
      <c r="C18" s="93" t="s">
        <v>995</v>
      </c>
      <c r="D18" s="88" t="s">
        <v>17</v>
      </c>
      <c r="E18" s="89"/>
      <c r="F18" s="38" t="s">
        <v>397</v>
      </c>
      <c r="G18" s="96">
        <v>6.92</v>
      </c>
      <c r="H18" s="39">
        <f t="shared" ref="H18:H80" si="0">E18*G18</f>
        <v>0</v>
      </c>
    </row>
    <row r="19" spans="1:8" s="2" customFormat="1" ht="36.75" customHeight="1" x14ac:dyDescent="0.2">
      <c r="A19" s="26" t="s">
        <v>18</v>
      </c>
      <c r="B19" s="26" t="s">
        <v>19</v>
      </c>
      <c r="C19" s="94" t="s">
        <v>992</v>
      </c>
      <c r="D19" s="82" t="s">
        <v>20</v>
      </c>
      <c r="E19" s="85"/>
      <c r="F19" s="26" t="s">
        <v>398</v>
      </c>
      <c r="G19" s="96">
        <v>1.3</v>
      </c>
      <c r="H19" s="81">
        <f t="shared" si="0"/>
        <v>0</v>
      </c>
    </row>
    <row r="20" spans="1:8" s="2" customFormat="1" ht="36.75" customHeight="1" x14ac:dyDescent="0.2">
      <c r="A20" s="26" t="s">
        <v>21</v>
      </c>
      <c r="B20" s="26" t="s">
        <v>19</v>
      </c>
      <c r="C20" s="94" t="s">
        <v>992</v>
      </c>
      <c r="D20" s="82" t="s">
        <v>22</v>
      </c>
      <c r="E20" s="85"/>
      <c r="F20" s="26" t="s">
        <v>398</v>
      </c>
      <c r="G20" s="96">
        <v>1.3</v>
      </c>
      <c r="H20" s="81">
        <f t="shared" si="0"/>
        <v>0</v>
      </c>
    </row>
    <row r="21" spans="1:8" s="2" customFormat="1" ht="36.75" customHeight="1" x14ac:dyDescent="0.2">
      <c r="A21" s="26" t="s">
        <v>24</v>
      </c>
      <c r="B21" s="26" t="s">
        <v>25</v>
      </c>
      <c r="C21" s="94" t="s">
        <v>1027</v>
      </c>
      <c r="D21" s="82" t="s">
        <v>26</v>
      </c>
      <c r="E21" s="85"/>
      <c r="F21" s="26" t="s">
        <v>397</v>
      </c>
      <c r="G21" s="96">
        <v>3.96</v>
      </c>
      <c r="H21" s="81">
        <f t="shared" si="0"/>
        <v>0</v>
      </c>
    </row>
    <row r="22" spans="1:8" s="2" customFormat="1" ht="36.75" customHeight="1" x14ac:dyDescent="0.2">
      <c r="A22" s="26" t="s">
        <v>692</v>
      </c>
      <c r="B22" s="26" t="s">
        <v>693</v>
      </c>
      <c r="C22" s="94" t="s">
        <v>1027</v>
      </c>
      <c r="D22" s="82" t="s">
        <v>694</v>
      </c>
      <c r="E22" s="85"/>
      <c r="F22" s="26" t="s">
        <v>407</v>
      </c>
      <c r="G22" s="96">
        <v>2.29</v>
      </c>
      <c r="H22" s="81">
        <f t="shared" si="0"/>
        <v>0</v>
      </c>
    </row>
    <row r="23" spans="1:8" s="2" customFormat="1" ht="36.75" customHeight="1" x14ac:dyDescent="0.2">
      <c r="A23" s="38" t="s">
        <v>27</v>
      </c>
      <c r="B23" s="38" t="s">
        <v>28</v>
      </c>
      <c r="C23" s="93" t="s">
        <v>1027</v>
      </c>
      <c r="D23" s="88" t="s">
        <v>486</v>
      </c>
      <c r="E23" s="89"/>
      <c r="F23" s="38" t="s">
        <v>399</v>
      </c>
      <c r="G23" s="96">
        <v>1.57</v>
      </c>
      <c r="H23" s="39">
        <f t="shared" si="0"/>
        <v>0</v>
      </c>
    </row>
    <row r="24" spans="1:8" s="2" customFormat="1" ht="36.75" customHeight="1" x14ac:dyDescent="0.2">
      <c r="A24" s="26" t="s">
        <v>29</v>
      </c>
      <c r="B24" s="26" t="s">
        <v>30</v>
      </c>
      <c r="C24" s="94" t="s">
        <v>1027</v>
      </c>
      <c r="D24" s="82" t="s">
        <v>31</v>
      </c>
      <c r="E24" s="85"/>
      <c r="F24" s="26" t="s">
        <v>400</v>
      </c>
      <c r="G24" s="96">
        <v>2.6</v>
      </c>
      <c r="H24" s="81">
        <f t="shared" si="0"/>
        <v>0</v>
      </c>
    </row>
    <row r="25" spans="1:8" s="2" customFormat="1" ht="36.75" customHeight="1" x14ac:dyDescent="0.2">
      <c r="A25" s="26" t="s">
        <v>32</v>
      </c>
      <c r="B25" s="26" t="s">
        <v>25</v>
      </c>
      <c r="C25" s="94" t="s">
        <v>996</v>
      </c>
      <c r="D25" s="82" t="s">
        <v>33</v>
      </c>
      <c r="E25" s="85"/>
      <c r="F25" s="26" t="s">
        <v>401</v>
      </c>
      <c r="G25" s="96">
        <v>3.73</v>
      </c>
      <c r="H25" s="81">
        <f t="shared" si="0"/>
        <v>0</v>
      </c>
    </row>
    <row r="26" spans="1:8" s="2" customFormat="1" ht="36.75" customHeight="1" x14ac:dyDescent="0.2">
      <c r="A26" s="26" t="s">
        <v>34</v>
      </c>
      <c r="B26" s="26" t="s">
        <v>25</v>
      </c>
      <c r="C26" s="94" t="s">
        <v>996</v>
      </c>
      <c r="D26" s="82" t="s">
        <v>35</v>
      </c>
      <c r="E26" s="85"/>
      <c r="F26" s="26" t="s">
        <v>402</v>
      </c>
      <c r="G26" s="96">
        <v>5.01</v>
      </c>
      <c r="H26" s="81">
        <f t="shared" si="0"/>
        <v>0</v>
      </c>
    </row>
    <row r="27" spans="1:8" s="2" customFormat="1" ht="36.75" customHeight="1" x14ac:dyDescent="0.2">
      <c r="A27" s="26" t="s">
        <v>582</v>
      </c>
      <c r="B27" s="26" t="s">
        <v>30</v>
      </c>
      <c r="C27" s="94" t="s">
        <v>1029</v>
      </c>
      <c r="D27" s="82" t="s">
        <v>583</v>
      </c>
      <c r="E27" s="85"/>
      <c r="F27" s="26" t="s">
        <v>398</v>
      </c>
      <c r="G27" s="96">
        <v>0.5</v>
      </c>
      <c r="H27" s="81">
        <f t="shared" si="0"/>
        <v>0</v>
      </c>
    </row>
    <row r="28" spans="1:8" s="2" customFormat="1" ht="36.75" customHeight="1" x14ac:dyDescent="0.2">
      <c r="A28" s="26" t="s">
        <v>727</v>
      </c>
      <c r="B28" s="26" t="s">
        <v>261</v>
      </c>
      <c r="C28" s="94" t="s">
        <v>1029</v>
      </c>
      <c r="D28" s="82" t="s">
        <v>728</v>
      </c>
      <c r="E28" s="85"/>
      <c r="F28" s="26" t="s">
        <v>413</v>
      </c>
      <c r="G28" s="96">
        <v>0.44</v>
      </c>
      <c r="H28" s="81">
        <f t="shared" si="0"/>
        <v>0</v>
      </c>
    </row>
    <row r="29" spans="1:8" s="2" customFormat="1" ht="36.75" customHeight="1" x14ac:dyDescent="0.2">
      <c r="A29" s="26" t="s">
        <v>695</v>
      </c>
      <c r="B29" s="26" t="s">
        <v>693</v>
      </c>
      <c r="C29" s="94" t="s">
        <v>1029</v>
      </c>
      <c r="D29" s="82" t="s">
        <v>696</v>
      </c>
      <c r="E29" s="85"/>
      <c r="F29" s="26" t="s">
        <v>432</v>
      </c>
      <c r="G29" s="96">
        <v>1.1000000000000001</v>
      </c>
      <c r="H29" s="81">
        <f t="shared" si="0"/>
        <v>0</v>
      </c>
    </row>
    <row r="30" spans="1:8" s="2" customFormat="1" ht="36.75" customHeight="1" x14ac:dyDescent="0.2">
      <c r="A30" s="26" t="s">
        <v>956</v>
      </c>
      <c r="B30" s="26" t="s">
        <v>30</v>
      </c>
      <c r="C30" s="94" t="s">
        <v>1029</v>
      </c>
      <c r="D30" s="82" t="s">
        <v>979</v>
      </c>
      <c r="E30" s="85"/>
      <c r="F30" s="26" t="s">
        <v>398</v>
      </c>
      <c r="G30" s="96">
        <v>1.1000000000000001</v>
      </c>
      <c r="H30" s="81">
        <f t="shared" si="0"/>
        <v>0</v>
      </c>
    </row>
    <row r="31" spans="1:8" s="2" customFormat="1" ht="36.75" customHeight="1" x14ac:dyDescent="0.2">
      <c r="A31" s="26" t="s">
        <v>584</v>
      </c>
      <c r="B31" s="26" t="s">
        <v>30</v>
      </c>
      <c r="C31" s="94" t="s">
        <v>1029</v>
      </c>
      <c r="D31" s="82" t="s">
        <v>585</v>
      </c>
      <c r="E31" s="85"/>
      <c r="F31" s="26" t="s">
        <v>404</v>
      </c>
      <c r="G31" s="96">
        <v>0.76</v>
      </c>
      <c r="H31" s="81">
        <f t="shared" si="0"/>
        <v>0</v>
      </c>
    </row>
    <row r="32" spans="1:8" s="2" customFormat="1" ht="36.75" customHeight="1" x14ac:dyDescent="0.2">
      <c r="A32" s="26" t="s">
        <v>37</v>
      </c>
      <c r="B32" s="26" t="s">
        <v>23</v>
      </c>
      <c r="C32" s="94" t="s">
        <v>1029</v>
      </c>
      <c r="D32" s="82" t="s">
        <v>38</v>
      </c>
      <c r="E32" s="85"/>
      <c r="F32" s="26" t="s">
        <v>405</v>
      </c>
      <c r="G32" s="96">
        <v>3.03</v>
      </c>
      <c r="H32" s="81">
        <f t="shared" si="0"/>
        <v>0</v>
      </c>
    </row>
    <row r="33" spans="1:8" s="2" customFormat="1" ht="36.75" customHeight="1" x14ac:dyDescent="0.2">
      <c r="A33" s="26" t="s">
        <v>39</v>
      </c>
      <c r="B33" s="26" t="s">
        <v>40</v>
      </c>
      <c r="C33" s="94" t="s">
        <v>1029</v>
      </c>
      <c r="D33" s="82" t="s">
        <v>657</v>
      </c>
      <c r="E33" s="85"/>
      <c r="F33" s="26" t="s">
        <v>398</v>
      </c>
      <c r="G33" s="96">
        <v>3.14</v>
      </c>
      <c r="H33" s="81">
        <f t="shared" si="0"/>
        <v>0</v>
      </c>
    </row>
    <row r="34" spans="1:8" s="2" customFormat="1" ht="36.75" customHeight="1" x14ac:dyDescent="0.2">
      <c r="A34" s="26" t="s">
        <v>537</v>
      </c>
      <c r="B34" s="26" t="s">
        <v>30</v>
      </c>
      <c r="C34" s="94" t="s">
        <v>1029</v>
      </c>
      <c r="D34" s="82" t="s">
        <v>538</v>
      </c>
      <c r="E34" s="85"/>
      <c r="F34" s="26" t="s">
        <v>430</v>
      </c>
      <c r="G34" s="96">
        <v>2.2999999999999998</v>
      </c>
      <c r="H34" s="81">
        <f t="shared" si="0"/>
        <v>0</v>
      </c>
    </row>
    <row r="35" spans="1:8" s="2" customFormat="1" ht="36.75" customHeight="1" x14ac:dyDescent="0.2">
      <c r="A35" s="26" t="s">
        <v>911</v>
      </c>
      <c r="B35" s="26" t="s">
        <v>30</v>
      </c>
      <c r="C35" s="94" t="s">
        <v>1025</v>
      </c>
      <c r="D35" s="82" t="s">
        <v>912</v>
      </c>
      <c r="E35" s="85"/>
      <c r="F35" s="26" t="s">
        <v>476</v>
      </c>
      <c r="G35" s="96">
        <v>2.29</v>
      </c>
      <c r="H35" s="81">
        <f t="shared" si="0"/>
        <v>0</v>
      </c>
    </row>
    <row r="36" spans="1:8" s="2" customFormat="1" ht="36.75" customHeight="1" x14ac:dyDescent="0.2">
      <c r="A36" s="26" t="s">
        <v>487</v>
      </c>
      <c r="B36" s="26" t="s">
        <v>43</v>
      </c>
      <c r="C36" s="94" t="s">
        <v>909</v>
      </c>
      <c r="D36" s="82" t="s">
        <v>488</v>
      </c>
      <c r="E36" s="85"/>
      <c r="F36" s="26" t="s">
        <v>430</v>
      </c>
      <c r="G36" s="96">
        <v>9.1999999999999993</v>
      </c>
      <c r="H36" s="81">
        <f t="shared" si="0"/>
        <v>0</v>
      </c>
    </row>
    <row r="37" spans="1:8" s="2" customFormat="1" ht="36.75" customHeight="1" x14ac:dyDescent="0.2">
      <c r="A37" s="26" t="s">
        <v>499</v>
      </c>
      <c r="B37" s="26" t="s">
        <v>19</v>
      </c>
      <c r="C37" s="94" t="s">
        <v>1024</v>
      </c>
      <c r="D37" s="82" t="s">
        <v>846</v>
      </c>
      <c r="E37" s="85"/>
      <c r="F37" s="26" t="s">
        <v>407</v>
      </c>
      <c r="G37" s="96">
        <v>0.4</v>
      </c>
      <c r="H37" s="81">
        <f t="shared" si="0"/>
        <v>0</v>
      </c>
    </row>
    <row r="38" spans="1:8" s="2" customFormat="1" ht="36.75" customHeight="1" x14ac:dyDescent="0.2">
      <c r="A38" s="26" t="s">
        <v>913</v>
      </c>
      <c r="B38" s="26" t="s">
        <v>30</v>
      </c>
      <c r="C38" s="94" t="s">
        <v>1029</v>
      </c>
      <c r="D38" s="82" t="s">
        <v>914</v>
      </c>
      <c r="E38" s="85"/>
      <c r="F38" s="26" t="s">
        <v>410</v>
      </c>
      <c r="G38" s="96">
        <v>1.43</v>
      </c>
      <c r="H38" s="81">
        <f t="shared" si="0"/>
        <v>0</v>
      </c>
    </row>
    <row r="39" spans="1:8" s="2" customFormat="1" ht="36.75" customHeight="1" x14ac:dyDescent="0.2">
      <c r="A39" s="26" t="s">
        <v>915</v>
      </c>
      <c r="B39" s="26" t="s">
        <v>30</v>
      </c>
      <c r="C39" s="94" t="s">
        <v>1029</v>
      </c>
      <c r="D39" s="82" t="s">
        <v>916</v>
      </c>
      <c r="E39" s="85"/>
      <c r="F39" s="26" t="s">
        <v>430</v>
      </c>
      <c r="G39" s="96">
        <v>1.43</v>
      </c>
      <c r="H39" s="81">
        <f t="shared" si="0"/>
        <v>0</v>
      </c>
    </row>
    <row r="40" spans="1:8" s="2" customFormat="1" ht="36.75" customHeight="1" x14ac:dyDescent="0.2">
      <c r="A40" s="26" t="s">
        <v>42</v>
      </c>
      <c r="B40" s="26" t="s">
        <v>43</v>
      </c>
      <c r="C40" s="94" t="s">
        <v>1024</v>
      </c>
      <c r="D40" s="82" t="s">
        <v>44</v>
      </c>
      <c r="E40" s="85"/>
      <c r="F40" s="26" t="s">
        <v>408</v>
      </c>
      <c r="G40" s="96">
        <v>2.4700000000000002</v>
      </c>
      <c r="H40" s="81">
        <f t="shared" si="0"/>
        <v>0</v>
      </c>
    </row>
    <row r="41" spans="1:8" s="2" customFormat="1" ht="36.75" customHeight="1" x14ac:dyDescent="0.2">
      <c r="A41" s="26" t="s">
        <v>46</v>
      </c>
      <c r="B41" s="26" t="s">
        <v>47</v>
      </c>
      <c r="C41" s="94" t="s">
        <v>1024</v>
      </c>
      <c r="D41" s="82" t="s">
        <v>48</v>
      </c>
      <c r="E41" s="85"/>
      <c r="F41" s="26" t="s">
        <v>411</v>
      </c>
      <c r="G41" s="96">
        <v>2.87</v>
      </c>
      <c r="H41" s="81">
        <f t="shared" si="0"/>
        <v>0</v>
      </c>
    </row>
    <row r="42" spans="1:8" s="2" customFormat="1" ht="36.75" customHeight="1" x14ac:dyDescent="0.2">
      <c r="A42" s="26" t="s">
        <v>49</v>
      </c>
      <c r="B42" s="26" t="s">
        <v>30</v>
      </c>
      <c r="C42" s="94" t="s">
        <v>1029</v>
      </c>
      <c r="D42" s="82" t="s">
        <v>50</v>
      </c>
      <c r="E42" s="85"/>
      <c r="F42" s="26" t="s">
        <v>406</v>
      </c>
      <c r="G42" s="96">
        <v>1.93</v>
      </c>
      <c r="H42" s="81">
        <f t="shared" si="0"/>
        <v>0</v>
      </c>
    </row>
    <row r="43" spans="1:8" s="2" customFormat="1" ht="36.75" customHeight="1" x14ac:dyDescent="0.2">
      <c r="A43" s="38" t="s">
        <v>53</v>
      </c>
      <c r="B43" s="38" t="s">
        <v>28</v>
      </c>
      <c r="C43" s="93" t="s">
        <v>1027</v>
      </c>
      <c r="D43" s="88" t="s">
        <v>54</v>
      </c>
      <c r="E43" s="89"/>
      <c r="F43" s="38" t="s">
        <v>399</v>
      </c>
      <c r="G43" s="96">
        <v>3.07</v>
      </c>
      <c r="H43" s="39">
        <f t="shared" si="0"/>
        <v>0</v>
      </c>
    </row>
    <row r="44" spans="1:8" s="2" customFormat="1" ht="36.75" customHeight="1" x14ac:dyDescent="0.2">
      <c r="A44" s="38" t="s">
        <v>55</v>
      </c>
      <c r="B44" s="38" t="s">
        <v>16</v>
      </c>
      <c r="C44" s="93" t="s">
        <v>995</v>
      </c>
      <c r="D44" s="88" t="s">
        <v>56</v>
      </c>
      <c r="E44" s="89"/>
      <c r="F44" s="38" t="s">
        <v>409</v>
      </c>
      <c r="G44" s="96">
        <v>3.33</v>
      </c>
      <c r="H44" s="39">
        <f t="shared" si="0"/>
        <v>0</v>
      </c>
    </row>
    <row r="45" spans="1:8" s="2" customFormat="1" ht="36.75" customHeight="1" x14ac:dyDescent="0.2">
      <c r="A45" s="26" t="s">
        <v>796</v>
      </c>
      <c r="B45" s="26" t="s">
        <v>65</v>
      </c>
      <c r="C45" s="94" t="s">
        <v>1024</v>
      </c>
      <c r="D45" s="82" t="s">
        <v>797</v>
      </c>
      <c r="E45" s="85"/>
      <c r="F45" s="26" t="s">
        <v>399</v>
      </c>
      <c r="G45" s="96">
        <v>0.8</v>
      </c>
      <c r="H45" s="81">
        <f t="shared" si="0"/>
        <v>0</v>
      </c>
    </row>
    <row r="46" spans="1:8" s="2" customFormat="1" ht="36.75" customHeight="1" x14ac:dyDescent="0.2">
      <c r="A46" s="38" t="s">
        <v>539</v>
      </c>
      <c r="B46" s="38" t="s">
        <v>58</v>
      </c>
      <c r="C46" s="93" t="s">
        <v>1028</v>
      </c>
      <c r="D46" s="88" t="s">
        <v>540</v>
      </c>
      <c r="E46" s="89"/>
      <c r="F46" s="38" t="s">
        <v>407</v>
      </c>
      <c r="G46" s="96">
        <v>4.18</v>
      </c>
      <c r="H46" s="39">
        <f t="shared" si="0"/>
        <v>0</v>
      </c>
    </row>
    <row r="47" spans="1:8" s="2" customFormat="1" ht="36.75" customHeight="1" x14ac:dyDescent="0.2">
      <c r="A47" s="26" t="s">
        <v>59</v>
      </c>
      <c r="B47" s="26" t="s">
        <v>40</v>
      </c>
      <c r="C47" s="94" t="s">
        <v>1029</v>
      </c>
      <c r="D47" s="82" t="s">
        <v>658</v>
      </c>
      <c r="E47" s="85"/>
      <c r="F47" s="26" t="s">
        <v>406</v>
      </c>
      <c r="G47" s="96">
        <v>10</v>
      </c>
      <c r="H47" s="81">
        <f t="shared" si="0"/>
        <v>0</v>
      </c>
    </row>
    <row r="48" spans="1:8" s="2" customFormat="1" ht="36.75" customHeight="1" x14ac:dyDescent="0.2">
      <c r="A48" s="26" t="s">
        <v>586</v>
      </c>
      <c r="B48" s="26" t="s">
        <v>43</v>
      </c>
      <c r="C48" s="94" t="s">
        <v>1029</v>
      </c>
      <c r="D48" s="82" t="s">
        <v>587</v>
      </c>
      <c r="E48" s="85"/>
      <c r="F48" s="26" t="s">
        <v>407</v>
      </c>
      <c r="G48" s="96">
        <v>1.29</v>
      </c>
      <c r="H48" s="81">
        <f t="shared" si="0"/>
        <v>0</v>
      </c>
    </row>
    <row r="49" spans="1:8" s="2" customFormat="1" ht="36.75" customHeight="1" x14ac:dyDescent="0.2">
      <c r="A49" s="26" t="s">
        <v>745</v>
      </c>
      <c r="B49" s="26" t="s">
        <v>746</v>
      </c>
      <c r="C49" s="94" t="s">
        <v>1028</v>
      </c>
      <c r="D49" s="82" t="s">
        <v>747</v>
      </c>
      <c r="E49" s="85"/>
      <c r="F49" s="26" t="s">
        <v>430</v>
      </c>
      <c r="G49" s="96">
        <v>1.81</v>
      </c>
      <c r="H49" s="81">
        <f t="shared" si="0"/>
        <v>0</v>
      </c>
    </row>
    <row r="50" spans="1:8" s="2" customFormat="1" ht="36.75" customHeight="1" x14ac:dyDescent="0.2">
      <c r="A50" s="26" t="s">
        <v>748</v>
      </c>
      <c r="B50" s="26" t="s">
        <v>746</v>
      </c>
      <c r="C50" s="94" t="s">
        <v>1028</v>
      </c>
      <c r="D50" s="82" t="s">
        <v>749</v>
      </c>
      <c r="E50" s="85"/>
      <c r="F50" s="26" t="s">
        <v>447</v>
      </c>
      <c r="G50" s="96">
        <v>1.17</v>
      </c>
      <c r="H50" s="81">
        <f t="shared" si="0"/>
        <v>0</v>
      </c>
    </row>
    <row r="51" spans="1:8" s="2" customFormat="1" ht="36.75" customHeight="1" x14ac:dyDescent="0.2">
      <c r="A51" s="26" t="s">
        <v>877</v>
      </c>
      <c r="B51" s="26" t="s">
        <v>57</v>
      </c>
      <c r="C51" s="94" t="s">
        <v>1028</v>
      </c>
      <c r="D51" s="82" t="s">
        <v>878</v>
      </c>
      <c r="E51" s="85"/>
      <c r="F51" s="26" t="s">
        <v>417</v>
      </c>
      <c r="G51" s="96">
        <v>5.46</v>
      </c>
      <c r="H51" s="81">
        <f t="shared" si="0"/>
        <v>0</v>
      </c>
    </row>
    <row r="52" spans="1:8" s="2" customFormat="1" ht="36.75" customHeight="1" x14ac:dyDescent="0.2">
      <c r="A52" s="35" t="s">
        <v>61</v>
      </c>
      <c r="B52" s="35" t="s">
        <v>62</v>
      </c>
      <c r="C52" s="95" t="s">
        <v>1029</v>
      </c>
      <c r="D52" s="90" t="s">
        <v>63</v>
      </c>
      <c r="E52" s="91"/>
      <c r="F52" s="35" t="s">
        <v>415</v>
      </c>
      <c r="G52" s="96">
        <v>4.1900000000000004</v>
      </c>
      <c r="H52" s="36">
        <f t="shared" si="0"/>
        <v>0</v>
      </c>
    </row>
    <row r="53" spans="1:8" s="2" customFormat="1" ht="36.75" customHeight="1" x14ac:dyDescent="0.2">
      <c r="A53" s="35" t="s">
        <v>500</v>
      </c>
      <c r="B53" s="35" t="s">
        <v>62</v>
      </c>
      <c r="C53" s="95" t="s">
        <v>1029</v>
      </c>
      <c r="D53" s="90" t="s">
        <v>501</v>
      </c>
      <c r="E53" s="91"/>
      <c r="F53" s="35" t="s">
        <v>417</v>
      </c>
      <c r="G53" s="96">
        <v>5.51</v>
      </c>
      <c r="H53" s="36">
        <f t="shared" si="0"/>
        <v>0</v>
      </c>
    </row>
    <row r="54" spans="1:8" s="2" customFormat="1" ht="36.75" customHeight="1" x14ac:dyDescent="0.2">
      <c r="A54" s="26" t="s">
        <v>697</v>
      </c>
      <c r="B54" s="26" t="s">
        <v>693</v>
      </c>
      <c r="C54" s="94" t="s">
        <v>1027</v>
      </c>
      <c r="D54" s="82" t="s">
        <v>698</v>
      </c>
      <c r="E54" s="85"/>
      <c r="F54" s="26" t="s">
        <v>408</v>
      </c>
      <c r="G54" s="96">
        <v>3.54</v>
      </c>
      <c r="H54" s="81">
        <f t="shared" si="0"/>
        <v>0</v>
      </c>
    </row>
    <row r="55" spans="1:8" s="2" customFormat="1" ht="36.75" customHeight="1" x14ac:dyDescent="0.2">
      <c r="A55" s="26" t="s">
        <v>805</v>
      </c>
      <c r="B55" s="26" t="s">
        <v>19</v>
      </c>
      <c r="C55" s="94" t="s">
        <v>1027</v>
      </c>
      <c r="D55" s="82" t="s">
        <v>806</v>
      </c>
      <c r="E55" s="85"/>
      <c r="F55" s="26" t="s">
        <v>429</v>
      </c>
      <c r="G55" s="96">
        <v>2.14</v>
      </c>
      <c r="H55" s="81">
        <f t="shared" si="0"/>
        <v>0</v>
      </c>
    </row>
    <row r="56" spans="1:8" s="2" customFormat="1" ht="36.75" customHeight="1" x14ac:dyDescent="0.2">
      <c r="A56" s="26" t="s">
        <v>917</v>
      </c>
      <c r="B56" s="26" t="s">
        <v>30</v>
      </c>
      <c r="C56" s="94" t="s">
        <v>1027</v>
      </c>
      <c r="D56" s="82" t="s">
        <v>918</v>
      </c>
      <c r="E56" s="85"/>
      <c r="F56" s="26" t="s">
        <v>400</v>
      </c>
      <c r="G56" s="96">
        <v>1.61</v>
      </c>
      <c r="H56" s="81">
        <f t="shared" si="0"/>
        <v>0</v>
      </c>
    </row>
    <row r="57" spans="1:8" s="2" customFormat="1" ht="36.75" customHeight="1" x14ac:dyDescent="0.2">
      <c r="A57" s="26" t="s">
        <v>588</v>
      </c>
      <c r="B57" s="26" t="s">
        <v>30</v>
      </c>
      <c r="C57" s="94" t="s">
        <v>1027</v>
      </c>
      <c r="D57" s="82" t="s">
        <v>589</v>
      </c>
      <c r="E57" s="85"/>
      <c r="F57" s="26" t="s">
        <v>400</v>
      </c>
      <c r="G57" s="96">
        <v>2.76</v>
      </c>
      <c r="H57" s="81">
        <f t="shared" si="0"/>
        <v>0</v>
      </c>
    </row>
    <row r="58" spans="1:8" s="2" customFormat="1" ht="36.75" customHeight="1" x14ac:dyDescent="0.2">
      <c r="A58" s="26" t="s">
        <v>64</v>
      </c>
      <c r="B58" s="26" t="s">
        <v>52</v>
      </c>
      <c r="C58" s="94" t="s">
        <v>1024</v>
      </c>
      <c r="D58" s="82" t="s">
        <v>980</v>
      </c>
      <c r="E58" s="85"/>
      <c r="F58" s="26" t="s">
        <v>416</v>
      </c>
      <c r="G58" s="96">
        <v>1.29</v>
      </c>
      <c r="H58" s="81">
        <f t="shared" si="0"/>
        <v>0</v>
      </c>
    </row>
    <row r="59" spans="1:8" s="2" customFormat="1" ht="36.75" customHeight="1" x14ac:dyDescent="0.2">
      <c r="A59" s="26" t="s">
        <v>522</v>
      </c>
      <c r="B59" s="26" t="s">
        <v>45</v>
      </c>
      <c r="C59" s="94" t="s">
        <v>1024</v>
      </c>
      <c r="D59" s="82" t="s">
        <v>523</v>
      </c>
      <c r="E59" s="85"/>
      <c r="F59" s="26" t="s">
        <v>439</v>
      </c>
      <c r="G59" s="96">
        <v>1.5</v>
      </c>
      <c r="H59" s="81">
        <f t="shared" si="0"/>
        <v>0</v>
      </c>
    </row>
    <row r="60" spans="1:8" s="2" customFormat="1" ht="36.75" customHeight="1" x14ac:dyDescent="0.2">
      <c r="A60" s="26" t="s">
        <v>66</v>
      </c>
      <c r="B60" s="26" t="s">
        <v>43</v>
      </c>
      <c r="C60" s="94" t="s">
        <v>1024</v>
      </c>
      <c r="D60" s="82" t="s">
        <v>67</v>
      </c>
      <c r="E60" s="85"/>
      <c r="F60" s="26" t="s">
        <v>412</v>
      </c>
      <c r="G60" s="96">
        <v>1.88</v>
      </c>
      <c r="H60" s="81">
        <f t="shared" si="0"/>
        <v>0</v>
      </c>
    </row>
    <row r="61" spans="1:8" s="2" customFormat="1" ht="36.75" customHeight="1" x14ac:dyDescent="0.2">
      <c r="A61" s="26" t="s">
        <v>771</v>
      </c>
      <c r="B61" s="26" t="s">
        <v>659</v>
      </c>
      <c r="C61" s="94" t="s">
        <v>1024</v>
      </c>
      <c r="D61" s="82" t="s">
        <v>772</v>
      </c>
      <c r="E61" s="85"/>
      <c r="F61" s="26" t="s">
        <v>430</v>
      </c>
      <c r="G61" s="96">
        <v>1.1399999999999999</v>
      </c>
      <c r="H61" s="81">
        <f t="shared" si="0"/>
        <v>0</v>
      </c>
    </row>
    <row r="62" spans="1:8" s="2" customFormat="1" ht="36.75" customHeight="1" x14ac:dyDescent="0.2">
      <c r="A62" s="26" t="s">
        <v>660</v>
      </c>
      <c r="B62" s="26" t="s">
        <v>659</v>
      </c>
      <c r="C62" s="94" t="s">
        <v>1024</v>
      </c>
      <c r="D62" s="82" t="s">
        <v>661</v>
      </c>
      <c r="E62" s="85"/>
      <c r="F62" s="26" t="s">
        <v>430</v>
      </c>
      <c r="G62" s="96">
        <v>1.43</v>
      </c>
      <c r="H62" s="81">
        <f t="shared" si="0"/>
        <v>0</v>
      </c>
    </row>
    <row r="63" spans="1:8" s="2" customFormat="1" ht="36.75" customHeight="1" x14ac:dyDescent="0.2">
      <c r="A63" s="26" t="s">
        <v>807</v>
      </c>
      <c r="B63" s="26" t="s">
        <v>19</v>
      </c>
      <c r="C63" s="94" t="s">
        <v>1024</v>
      </c>
      <c r="D63" s="82" t="s">
        <v>808</v>
      </c>
      <c r="E63" s="85"/>
      <c r="F63" s="26" t="s">
        <v>407</v>
      </c>
      <c r="G63" s="96">
        <v>0.34</v>
      </c>
      <c r="H63" s="81">
        <f t="shared" si="0"/>
        <v>0</v>
      </c>
    </row>
    <row r="64" spans="1:8" s="2" customFormat="1" ht="36.75" customHeight="1" x14ac:dyDescent="0.2">
      <c r="A64" s="26" t="s">
        <v>590</v>
      </c>
      <c r="B64" s="26" t="s">
        <v>65</v>
      </c>
      <c r="C64" s="94" t="s">
        <v>1024</v>
      </c>
      <c r="D64" s="82" t="s">
        <v>591</v>
      </c>
      <c r="E64" s="85"/>
      <c r="F64" s="26" t="s">
        <v>429</v>
      </c>
      <c r="G64" s="96">
        <v>1.27</v>
      </c>
      <c r="H64" s="81">
        <f t="shared" si="0"/>
        <v>0</v>
      </c>
    </row>
    <row r="65" spans="1:15" s="2" customFormat="1" ht="36.75" customHeight="1" x14ac:dyDescent="0.2">
      <c r="A65" s="26" t="s">
        <v>750</v>
      </c>
      <c r="B65" s="26" t="s">
        <v>19</v>
      </c>
      <c r="C65" s="94" t="s">
        <v>1029</v>
      </c>
      <c r="D65" s="82" t="s">
        <v>847</v>
      </c>
      <c r="E65" s="85"/>
      <c r="F65" s="26" t="s">
        <v>429</v>
      </c>
      <c r="G65" s="96">
        <v>1.1100000000000001</v>
      </c>
      <c r="H65" s="81">
        <f t="shared" si="0"/>
        <v>0</v>
      </c>
    </row>
    <row r="66" spans="1:15" s="2" customFormat="1" ht="36.75" customHeight="1" x14ac:dyDescent="0.2">
      <c r="A66" s="26" t="s">
        <v>68</v>
      </c>
      <c r="B66" s="26" t="s">
        <v>30</v>
      </c>
      <c r="C66" s="94" t="s">
        <v>1029</v>
      </c>
      <c r="D66" s="82" t="s">
        <v>69</v>
      </c>
      <c r="E66" s="85"/>
      <c r="F66" s="26" t="s">
        <v>398</v>
      </c>
      <c r="G66" s="96">
        <v>2.15</v>
      </c>
      <c r="H66" s="81">
        <f t="shared" si="0"/>
        <v>0</v>
      </c>
    </row>
    <row r="67" spans="1:15" s="2" customFormat="1" ht="36.75" customHeight="1" x14ac:dyDescent="0.2">
      <c r="A67" s="26" t="s">
        <v>919</v>
      </c>
      <c r="B67" s="26" t="s">
        <v>30</v>
      </c>
      <c r="C67" s="94" t="s">
        <v>1027</v>
      </c>
      <c r="D67" s="82" t="s">
        <v>920</v>
      </c>
      <c r="E67" s="85"/>
      <c r="F67" s="26" t="s">
        <v>410</v>
      </c>
      <c r="G67" s="96">
        <v>6.43</v>
      </c>
      <c r="H67" s="81">
        <f t="shared" si="0"/>
        <v>0</v>
      </c>
    </row>
    <row r="68" spans="1:15" s="2" customFormat="1" ht="36.75" customHeight="1" x14ac:dyDescent="0.2">
      <c r="A68" s="38" t="s">
        <v>70</v>
      </c>
      <c r="B68" s="38" t="s">
        <v>28</v>
      </c>
      <c r="C68" s="93" t="s">
        <v>1027</v>
      </c>
      <c r="D68" s="88" t="s">
        <v>571</v>
      </c>
      <c r="E68" s="89"/>
      <c r="F68" s="38" t="s">
        <v>399</v>
      </c>
      <c r="G68" s="96">
        <v>2.4300000000000002</v>
      </c>
      <c r="H68" s="39">
        <f t="shared" si="0"/>
        <v>0</v>
      </c>
    </row>
    <row r="69" spans="1:15" s="2" customFormat="1" ht="36.75" customHeight="1" x14ac:dyDescent="0.2">
      <c r="A69" s="26" t="s">
        <v>71</v>
      </c>
      <c r="B69" s="26" t="s">
        <v>23</v>
      </c>
      <c r="C69" s="94" t="s">
        <v>1029</v>
      </c>
      <c r="D69" s="82" t="s">
        <v>72</v>
      </c>
      <c r="E69" s="85"/>
      <c r="F69" s="26" t="s">
        <v>405</v>
      </c>
      <c r="G69" s="96">
        <v>2.4300000000000002</v>
      </c>
      <c r="H69" s="81">
        <f t="shared" si="0"/>
        <v>0</v>
      </c>
      <c r="M69" s="3"/>
      <c r="O69" s="3"/>
    </row>
    <row r="70" spans="1:15" s="2" customFormat="1" ht="36.75" customHeight="1" x14ac:dyDescent="0.2">
      <c r="A70" s="26" t="s">
        <v>572</v>
      </c>
      <c r="B70" s="26" t="s">
        <v>28</v>
      </c>
      <c r="C70" s="94" t="s">
        <v>1029</v>
      </c>
      <c r="D70" s="82" t="s">
        <v>573</v>
      </c>
      <c r="E70" s="85"/>
      <c r="F70" s="26" t="s">
        <v>430</v>
      </c>
      <c r="G70" s="96">
        <v>1.71</v>
      </c>
      <c r="H70" s="81">
        <f t="shared" si="0"/>
        <v>0</v>
      </c>
    </row>
    <row r="71" spans="1:15" s="2" customFormat="1" ht="36.75" customHeight="1" x14ac:dyDescent="0.2">
      <c r="A71" s="26" t="s">
        <v>998</v>
      </c>
      <c r="B71" s="26" t="s">
        <v>52</v>
      </c>
      <c r="C71" s="94" t="s">
        <v>1024</v>
      </c>
      <c r="D71" s="82" t="s">
        <v>999</v>
      </c>
      <c r="E71" s="85"/>
      <c r="F71" s="26" t="s">
        <v>410</v>
      </c>
      <c r="G71" s="96">
        <v>4.49</v>
      </c>
      <c r="H71" s="81">
        <f t="shared" si="0"/>
        <v>0</v>
      </c>
    </row>
    <row r="72" spans="1:15" s="2" customFormat="1" ht="36.75" customHeight="1" x14ac:dyDescent="0.2">
      <c r="A72" s="26" t="s">
        <v>73</v>
      </c>
      <c r="B72" s="26" t="s">
        <v>36</v>
      </c>
      <c r="C72" s="94" t="s">
        <v>1024</v>
      </c>
      <c r="D72" s="82" t="s">
        <v>74</v>
      </c>
      <c r="E72" s="85"/>
      <c r="F72" s="26" t="s">
        <v>408</v>
      </c>
      <c r="G72" s="96">
        <v>1.2</v>
      </c>
      <c r="H72" s="81">
        <f t="shared" si="0"/>
        <v>0</v>
      </c>
    </row>
    <row r="73" spans="1:15" s="2" customFormat="1" ht="36.75" customHeight="1" x14ac:dyDescent="0.2">
      <c r="A73" s="26" t="s">
        <v>75</v>
      </c>
      <c r="B73" s="26" t="s">
        <v>57</v>
      </c>
      <c r="C73" s="94" t="s">
        <v>1028</v>
      </c>
      <c r="D73" s="82" t="s">
        <v>76</v>
      </c>
      <c r="E73" s="85"/>
      <c r="F73" s="26" t="s">
        <v>417</v>
      </c>
      <c r="G73" s="96">
        <v>1.2</v>
      </c>
      <c r="H73" s="81">
        <f t="shared" si="0"/>
        <v>0</v>
      </c>
    </row>
    <row r="74" spans="1:15" s="2" customFormat="1" ht="36.75" customHeight="1" x14ac:dyDescent="0.2">
      <c r="A74" s="26" t="s">
        <v>77</v>
      </c>
      <c r="B74" s="26" t="s">
        <v>45</v>
      </c>
      <c r="C74" s="94" t="s">
        <v>1024</v>
      </c>
      <c r="D74" s="82" t="s">
        <v>78</v>
      </c>
      <c r="E74" s="85"/>
      <c r="F74" s="26" t="s">
        <v>439</v>
      </c>
      <c r="G74" s="96">
        <v>0.43</v>
      </c>
      <c r="H74" s="81">
        <f t="shared" si="0"/>
        <v>0</v>
      </c>
    </row>
    <row r="75" spans="1:15" s="2" customFormat="1" ht="36.75" customHeight="1" x14ac:dyDescent="0.2">
      <c r="A75" s="26" t="s">
        <v>79</v>
      </c>
      <c r="B75" s="26" t="s">
        <v>45</v>
      </c>
      <c r="C75" s="94" t="s">
        <v>1027</v>
      </c>
      <c r="D75" s="82" t="s">
        <v>80</v>
      </c>
      <c r="E75" s="86"/>
      <c r="F75" s="26" t="s">
        <v>409</v>
      </c>
      <c r="G75" s="96">
        <v>2.2000000000000002</v>
      </c>
      <c r="H75" s="81">
        <f t="shared" si="0"/>
        <v>0</v>
      </c>
    </row>
    <row r="76" spans="1:15" s="2" customFormat="1" ht="36.75" customHeight="1" x14ac:dyDescent="0.2">
      <c r="A76" s="26" t="s">
        <v>81</v>
      </c>
      <c r="B76" s="26" t="s">
        <v>30</v>
      </c>
      <c r="C76" s="94" t="s">
        <v>1027</v>
      </c>
      <c r="D76" s="82" t="s">
        <v>82</v>
      </c>
      <c r="E76" s="85"/>
      <c r="F76" s="26" t="s">
        <v>418</v>
      </c>
      <c r="G76" s="96">
        <v>3.85</v>
      </c>
      <c r="H76" s="81">
        <f t="shared" si="0"/>
        <v>0</v>
      </c>
    </row>
    <row r="77" spans="1:15" s="2" customFormat="1" ht="36.75" customHeight="1" x14ac:dyDescent="0.2">
      <c r="A77" s="38" t="s">
        <v>574</v>
      </c>
      <c r="B77" s="38" t="s">
        <v>28</v>
      </c>
      <c r="C77" s="93" t="s">
        <v>1027</v>
      </c>
      <c r="D77" s="88" t="s">
        <v>575</v>
      </c>
      <c r="E77" s="89"/>
      <c r="F77" s="38" t="s">
        <v>399</v>
      </c>
      <c r="G77" s="96">
        <v>4.1399999999999997</v>
      </c>
      <c r="H77" s="39">
        <f t="shared" si="0"/>
        <v>0</v>
      </c>
    </row>
    <row r="78" spans="1:15" s="2" customFormat="1" ht="36.75" customHeight="1" x14ac:dyDescent="0.2">
      <c r="A78" s="26" t="s">
        <v>83</v>
      </c>
      <c r="B78" s="26" t="s">
        <v>23</v>
      </c>
      <c r="C78" s="94" t="s">
        <v>1029</v>
      </c>
      <c r="D78" s="82" t="s">
        <v>84</v>
      </c>
      <c r="E78" s="85"/>
      <c r="F78" s="26" t="s">
        <v>405</v>
      </c>
      <c r="G78" s="96">
        <v>1.73</v>
      </c>
      <c r="H78" s="81">
        <f t="shared" si="0"/>
        <v>0</v>
      </c>
    </row>
    <row r="79" spans="1:15" s="2" customFormat="1" ht="36.75" customHeight="1" x14ac:dyDescent="0.2">
      <c r="A79" s="26" t="s">
        <v>85</v>
      </c>
      <c r="B79" s="26" t="s">
        <v>40</v>
      </c>
      <c r="C79" s="94" t="s">
        <v>1029</v>
      </c>
      <c r="D79" s="82" t="s">
        <v>662</v>
      </c>
      <c r="E79" s="85"/>
      <c r="F79" s="26" t="s">
        <v>406</v>
      </c>
      <c r="G79" s="96">
        <v>1.64</v>
      </c>
      <c r="H79" s="81">
        <f t="shared" si="0"/>
        <v>0</v>
      </c>
    </row>
    <row r="80" spans="1:15" s="2" customFormat="1" ht="36.75" customHeight="1" x14ac:dyDescent="0.2">
      <c r="A80" s="26" t="s">
        <v>86</v>
      </c>
      <c r="B80" s="26" t="s">
        <v>41</v>
      </c>
      <c r="C80" s="94" t="s">
        <v>1029</v>
      </c>
      <c r="D80" s="82" t="s">
        <v>87</v>
      </c>
      <c r="E80" s="85"/>
      <c r="F80" s="26" t="s">
        <v>403</v>
      </c>
      <c r="G80" s="96">
        <v>1.47</v>
      </c>
      <c r="H80" s="81">
        <f t="shared" si="0"/>
        <v>0</v>
      </c>
    </row>
    <row r="81" spans="1:8" s="2" customFormat="1" ht="36.75" customHeight="1" x14ac:dyDescent="0.2">
      <c r="A81" s="38" t="s">
        <v>88</v>
      </c>
      <c r="B81" s="38" t="s">
        <v>28</v>
      </c>
      <c r="C81" s="93" t="s">
        <v>1029</v>
      </c>
      <c r="D81" s="88" t="s">
        <v>89</v>
      </c>
      <c r="E81" s="89"/>
      <c r="F81" s="38" t="s">
        <v>399</v>
      </c>
      <c r="G81" s="96">
        <v>1.29</v>
      </c>
      <c r="H81" s="39">
        <f t="shared" ref="H81:H143" si="1">E81*G81</f>
        <v>0</v>
      </c>
    </row>
    <row r="82" spans="1:8" s="2" customFormat="1" ht="36.75" customHeight="1" x14ac:dyDescent="0.2">
      <c r="A82" s="26" t="s">
        <v>90</v>
      </c>
      <c r="B82" s="26" t="s">
        <v>30</v>
      </c>
      <c r="C82" s="94" t="s">
        <v>1029</v>
      </c>
      <c r="D82" s="82" t="s">
        <v>91</v>
      </c>
      <c r="E82" s="85"/>
      <c r="F82" s="26" t="s">
        <v>398</v>
      </c>
      <c r="G82" s="96">
        <v>2</v>
      </c>
      <c r="H82" s="81">
        <f t="shared" si="1"/>
        <v>0</v>
      </c>
    </row>
    <row r="83" spans="1:8" s="2" customFormat="1" ht="36.75" customHeight="1" x14ac:dyDescent="0.2">
      <c r="A83" s="38" t="s">
        <v>879</v>
      </c>
      <c r="B83" s="38" t="s">
        <v>58</v>
      </c>
      <c r="C83" s="93" t="s">
        <v>1026</v>
      </c>
      <c r="D83" s="88" t="s">
        <v>880</v>
      </c>
      <c r="E83" s="89"/>
      <c r="F83" s="38" t="s">
        <v>528</v>
      </c>
      <c r="G83" s="96">
        <v>0.74</v>
      </c>
      <c r="H83" s="39">
        <f t="shared" si="1"/>
        <v>0</v>
      </c>
    </row>
    <row r="84" spans="1:8" s="2" customFormat="1" ht="36.75" customHeight="1" x14ac:dyDescent="0.2">
      <c r="A84" s="26" t="s">
        <v>921</v>
      </c>
      <c r="B84" s="26" t="s">
        <v>30</v>
      </c>
      <c r="C84" s="94" t="s">
        <v>1025</v>
      </c>
      <c r="D84" s="82" t="s">
        <v>922</v>
      </c>
      <c r="E84" s="85"/>
      <c r="F84" s="26" t="s">
        <v>415</v>
      </c>
      <c r="G84" s="96">
        <v>2.57</v>
      </c>
      <c r="H84" s="81">
        <f t="shared" si="1"/>
        <v>0</v>
      </c>
    </row>
    <row r="85" spans="1:8" s="2" customFormat="1" ht="36.75" customHeight="1" x14ac:dyDescent="0.2">
      <c r="A85" s="26" t="s">
        <v>457</v>
      </c>
      <c r="B85" s="26" t="s">
        <v>57</v>
      </c>
      <c r="C85" s="94" t="s">
        <v>1028</v>
      </c>
      <c r="D85" s="82" t="s">
        <v>458</v>
      </c>
      <c r="E85" s="85"/>
      <c r="F85" s="26" t="s">
        <v>414</v>
      </c>
      <c r="G85" s="96">
        <v>2.21</v>
      </c>
      <c r="H85" s="81">
        <f t="shared" si="1"/>
        <v>0</v>
      </c>
    </row>
    <row r="86" spans="1:8" s="2" customFormat="1" ht="36.75" customHeight="1" x14ac:dyDescent="0.2">
      <c r="A86" s="26" t="s">
        <v>92</v>
      </c>
      <c r="B86" s="26" t="s">
        <v>19</v>
      </c>
      <c r="C86" s="94" t="s">
        <v>1028</v>
      </c>
      <c r="D86" s="82" t="s">
        <v>93</v>
      </c>
      <c r="E86" s="85"/>
      <c r="F86" s="26" t="s">
        <v>419</v>
      </c>
      <c r="G86" s="96">
        <v>5.92</v>
      </c>
      <c r="H86" s="81">
        <f t="shared" si="1"/>
        <v>0</v>
      </c>
    </row>
    <row r="87" spans="1:8" s="2" customFormat="1" ht="36.75" customHeight="1" x14ac:dyDescent="0.2">
      <c r="A87" s="26" t="s">
        <v>94</v>
      </c>
      <c r="B87" s="26" t="s">
        <v>19</v>
      </c>
      <c r="C87" s="94" t="s">
        <v>1028</v>
      </c>
      <c r="D87" s="82" t="s">
        <v>95</v>
      </c>
      <c r="E87" s="85"/>
      <c r="F87" s="26" t="s">
        <v>420</v>
      </c>
      <c r="G87" s="96">
        <v>9.33</v>
      </c>
      <c r="H87" s="81">
        <f t="shared" si="1"/>
        <v>0</v>
      </c>
    </row>
    <row r="88" spans="1:8" s="2" customFormat="1" ht="36.75" customHeight="1" x14ac:dyDescent="0.2">
      <c r="A88" s="26" t="s">
        <v>968</v>
      </c>
      <c r="B88" s="26" t="s">
        <v>757</v>
      </c>
      <c r="C88" s="94" t="s">
        <v>1028</v>
      </c>
      <c r="D88" s="82" t="s">
        <v>981</v>
      </c>
      <c r="E88" s="85"/>
      <c r="F88" s="26" t="s">
        <v>409</v>
      </c>
      <c r="G88" s="96">
        <v>2.29</v>
      </c>
      <c r="H88" s="81">
        <f t="shared" si="1"/>
        <v>0</v>
      </c>
    </row>
    <row r="89" spans="1:8" s="2" customFormat="1" ht="36.75" customHeight="1" x14ac:dyDescent="0.2">
      <c r="A89" s="26" t="s">
        <v>969</v>
      </c>
      <c r="B89" s="26" t="s">
        <v>757</v>
      </c>
      <c r="C89" s="94" t="s">
        <v>1028</v>
      </c>
      <c r="D89" s="82" t="s">
        <v>982</v>
      </c>
      <c r="E89" s="85"/>
      <c r="F89" s="26" t="s">
        <v>417</v>
      </c>
      <c r="G89" s="96">
        <v>0.92</v>
      </c>
      <c r="H89" s="81">
        <f t="shared" si="1"/>
        <v>0</v>
      </c>
    </row>
    <row r="90" spans="1:8" s="2" customFormat="1" ht="36.75" customHeight="1" x14ac:dyDescent="0.2">
      <c r="A90" s="26" t="s">
        <v>96</v>
      </c>
      <c r="B90" s="26" t="s">
        <v>25</v>
      </c>
      <c r="C90" s="94" t="s">
        <v>1027</v>
      </c>
      <c r="D90" s="82" t="s">
        <v>97</v>
      </c>
      <c r="E90" s="85"/>
      <c r="F90" s="26" t="s">
        <v>398</v>
      </c>
      <c r="G90" s="96">
        <v>3.96</v>
      </c>
      <c r="H90" s="81">
        <f t="shared" si="1"/>
        <v>0</v>
      </c>
    </row>
    <row r="91" spans="1:8" s="2" customFormat="1" ht="36.75" customHeight="1" x14ac:dyDescent="0.2">
      <c r="A91" s="26" t="s">
        <v>98</v>
      </c>
      <c r="B91" s="26" t="s">
        <v>99</v>
      </c>
      <c r="C91" s="94" t="s">
        <v>1024</v>
      </c>
      <c r="D91" s="82" t="s">
        <v>100</v>
      </c>
      <c r="E91" s="85"/>
      <c r="F91" s="26" t="s">
        <v>404</v>
      </c>
      <c r="G91" s="96">
        <v>1.89</v>
      </c>
      <c r="H91" s="81">
        <f t="shared" si="1"/>
        <v>0</v>
      </c>
    </row>
    <row r="92" spans="1:8" s="2" customFormat="1" ht="36.75" customHeight="1" x14ac:dyDescent="0.2">
      <c r="A92" s="26" t="s">
        <v>923</v>
      </c>
      <c r="B92" s="26" t="s">
        <v>30</v>
      </c>
      <c r="C92" s="94" t="s">
        <v>1029</v>
      </c>
      <c r="D92" s="82" t="s">
        <v>924</v>
      </c>
      <c r="E92" s="85"/>
      <c r="F92" s="26" t="s">
        <v>404</v>
      </c>
      <c r="G92" s="96">
        <v>1.71</v>
      </c>
      <c r="H92" s="81">
        <f t="shared" si="1"/>
        <v>0</v>
      </c>
    </row>
    <row r="93" spans="1:8" s="2" customFormat="1" ht="36.75" customHeight="1" x14ac:dyDescent="0.2">
      <c r="A93" s="26" t="s">
        <v>102</v>
      </c>
      <c r="B93" s="26" t="s">
        <v>103</v>
      </c>
      <c r="C93" s="94" t="s">
        <v>1029</v>
      </c>
      <c r="D93" s="82" t="s">
        <v>104</v>
      </c>
      <c r="E93" s="85"/>
      <c r="F93" s="26" t="s">
        <v>400</v>
      </c>
      <c r="G93" s="96">
        <v>5.33</v>
      </c>
      <c r="H93" s="81">
        <f t="shared" si="1"/>
        <v>0</v>
      </c>
    </row>
    <row r="94" spans="1:8" s="2" customFormat="1" ht="36.75" customHeight="1" x14ac:dyDescent="0.2">
      <c r="A94" s="26" t="s">
        <v>105</v>
      </c>
      <c r="B94" s="26" t="s">
        <v>19</v>
      </c>
      <c r="C94" s="94" t="s">
        <v>1029</v>
      </c>
      <c r="D94" s="82" t="s">
        <v>106</v>
      </c>
      <c r="E94" s="85"/>
      <c r="F94" s="26" t="s">
        <v>404</v>
      </c>
      <c r="G94" s="96">
        <v>2.12</v>
      </c>
      <c r="H94" s="81">
        <f t="shared" si="1"/>
        <v>0</v>
      </c>
    </row>
    <row r="95" spans="1:8" s="2" customFormat="1" ht="36.75" customHeight="1" x14ac:dyDescent="0.2">
      <c r="A95" s="26" t="s">
        <v>107</v>
      </c>
      <c r="B95" s="26" t="s">
        <v>108</v>
      </c>
      <c r="C95" s="94" t="s">
        <v>1024</v>
      </c>
      <c r="D95" s="82" t="s">
        <v>109</v>
      </c>
      <c r="E95" s="85"/>
      <c r="F95" s="26" t="s">
        <v>412</v>
      </c>
      <c r="G95" s="96">
        <v>0.45</v>
      </c>
      <c r="H95" s="81">
        <f t="shared" si="1"/>
        <v>0</v>
      </c>
    </row>
    <row r="96" spans="1:8" s="2" customFormat="1" ht="36.75" customHeight="1" x14ac:dyDescent="0.2">
      <c r="A96" s="26" t="s">
        <v>798</v>
      </c>
      <c r="B96" s="26" t="s">
        <v>52</v>
      </c>
      <c r="C96" s="94" t="s">
        <v>1024</v>
      </c>
      <c r="D96" s="82" t="s">
        <v>799</v>
      </c>
      <c r="E96" s="85"/>
      <c r="F96" s="26" t="s">
        <v>804</v>
      </c>
      <c r="G96" s="96">
        <v>5.56</v>
      </c>
      <c r="H96" s="81">
        <f t="shared" si="1"/>
        <v>0</v>
      </c>
    </row>
    <row r="97" spans="1:8" s="2" customFormat="1" ht="36.75" customHeight="1" x14ac:dyDescent="0.2">
      <c r="A97" s="38" t="s">
        <v>881</v>
      </c>
      <c r="B97" s="38" t="s">
        <v>58</v>
      </c>
      <c r="C97" s="93" t="s">
        <v>1026</v>
      </c>
      <c r="D97" s="88" t="s">
        <v>882</v>
      </c>
      <c r="E97" s="89"/>
      <c r="F97" s="38" t="s">
        <v>415</v>
      </c>
      <c r="G97" s="96">
        <v>1.4</v>
      </c>
      <c r="H97" s="39">
        <f t="shared" si="1"/>
        <v>0</v>
      </c>
    </row>
    <row r="98" spans="1:8" s="2" customFormat="1" ht="36.75" customHeight="1" x14ac:dyDescent="0.2">
      <c r="A98" s="26" t="s">
        <v>541</v>
      </c>
      <c r="B98" s="26" t="s">
        <v>30</v>
      </c>
      <c r="C98" s="94" t="s">
        <v>1029</v>
      </c>
      <c r="D98" s="82" t="s">
        <v>542</v>
      </c>
      <c r="E98" s="85"/>
      <c r="F98" s="26" t="s">
        <v>403</v>
      </c>
      <c r="G98" s="96">
        <v>2.15</v>
      </c>
      <c r="H98" s="81">
        <f t="shared" si="1"/>
        <v>0</v>
      </c>
    </row>
    <row r="99" spans="1:8" s="2" customFormat="1" ht="36.75" customHeight="1" x14ac:dyDescent="0.2">
      <c r="A99" s="26" t="s">
        <v>925</v>
      </c>
      <c r="B99" s="26" t="s">
        <v>30</v>
      </c>
      <c r="C99" s="94" t="s">
        <v>1029</v>
      </c>
      <c r="D99" s="82" t="s">
        <v>926</v>
      </c>
      <c r="E99" s="85"/>
      <c r="F99" s="26" t="s">
        <v>404</v>
      </c>
      <c r="G99" s="96">
        <v>0.93</v>
      </c>
      <c r="H99" s="81">
        <f t="shared" si="1"/>
        <v>0</v>
      </c>
    </row>
    <row r="100" spans="1:8" s="2" customFormat="1" ht="36.75" customHeight="1" x14ac:dyDescent="0.2">
      <c r="A100" s="26" t="s">
        <v>110</v>
      </c>
      <c r="B100" s="26" t="s">
        <v>30</v>
      </c>
      <c r="C100" s="94" t="s">
        <v>1029</v>
      </c>
      <c r="D100" s="82" t="s">
        <v>111</v>
      </c>
      <c r="E100" s="85"/>
      <c r="F100" s="26" t="s">
        <v>404</v>
      </c>
      <c r="G100" s="96">
        <v>1.72</v>
      </c>
      <c r="H100" s="81">
        <f t="shared" si="1"/>
        <v>0</v>
      </c>
    </row>
    <row r="101" spans="1:8" s="2" customFormat="1" ht="36.75" customHeight="1" x14ac:dyDescent="0.2">
      <c r="A101" s="26" t="s">
        <v>809</v>
      </c>
      <c r="B101" s="26" t="s">
        <v>19</v>
      </c>
      <c r="C101" s="94" t="s">
        <v>1029</v>
      </c>
      <c r="D101" s="82" t="s">
        <v>810</v>
      </c>
      <c r="E101" s="85"/>
      <c r="F101" s="26" t="s">
        <v>429</v>
      </c>
      <c r="G101" s="96">
        <v>1.63</v>
      </c>
      <c r="H101" s="81">
        <f t="shared" si="1"/>
        <v>0</v>
      </c>
    </row>
    <row r="102" spans="1:8" s="2" customFormat="1" ht="36.75" customHeight="1" x14ac:dyDescent="0.2">
      <c r="A102" s="26" t="s">
        <v>751</v>
      </c>
      <c r="B102" s="26" t="s">
        <v>811</v>
      </c>
      <c r="C102" s="94" t="s">
        <v>1028</v>
      </c>
      <c r="D102" s="82" t="s">
        <v>752</v>
      </c>
      <c r="E102" s="85"/>
      <c r="F102" s="26" t="s">
        <v>420</v>
      </c>
      <c r="G102" s="96">
        <v>0.76</v>
      </c>
      <c r="H102" s="81">
        <f t="shared" si="1"/>
        <v>0</v>
      </c>
    </row>
    <row r="103" spans="1:8" s="2" customFormat="1" ht="36.75" customHeight="1" x14ac:dyDescent="0.2">
      <c r="A103" s="26" t="s">
        <v>753</v>
      </c>
      <c r="B103" s="26" t="s">
        <v>754</v>
      </c>
      <c r="C103" s="94" t="s">
        <v>1028</v>
      </c>
      <c r="D103" s="82" t="s">
        <v>755</v>
      </c>
      <c r="E103" s="85"/>
      <c r="F103" s="26" t="s">
        <v>420</v>
      </c>
      <c r="G103" s="96">
        <v>1.24</v>
      </c>
      <c r="H103" s="81">
        <f t="shared" si="1"/>
        <v>0</v>
      </c>
    </row>
    <row r="104" spans="1:8" s="2" customFormat="1" ht="36.75" customHeight="1" x14ac:dyDescent="0.2">
      <c r="A104" s="26" t="s">
        <v>860</v>
      </c>
      <c r="B104" s="26" t="s">
        <v>754</v>
      </c>
      <c r="C104" s="94" t="s">
        <v>1028</v>
      </c>
      <c r="D104" s="82" t="s">
        <v>861</v>
      </c>
      <c r="E104" s="85"/>
      <c r="F104" s="26" t="s">
        <v>420</v>
      </c>
      <c r="G104" s="96">
        <v>2.14</v>
      </c>
      <c r="H104" s="81">
        <f t="shared" si="1"/>
        <v>0</v>
      </c>
    </row>
    <row r="105" spans="1:8" s="2" customFormat="1" ht="36.75" customHeight="1" x14ac:dyDescent="0.2">
      <c r="A105" s="26" t="s">
        <v>112</v>
      </c>
      <c r="B105" s="26" t="s">
        <v>57</v>
      </c>
      <c r="C105" s="94" t="s">
        <v>1028</v>
      </c>
      <c r="D105" s="82" t="s">
        <v>113</v>
      </c>
      <c r="E105" s="85"/>
      <c r="F105" s="26" t="s">
        <v>422</v>
      </c>
      <c r="G105" s="96">
        <v>0.49</v>
      </c>
      <c r="H105" s="81">
        <f t="shared" si="1"/>
        <v>0</v>
      </c>
    </row>
    <row r="106" spans="1:8" s="2" customFormat="1" ht="36.75" customHeight="1" x14ac:dyDescent="0.2">
      <c r="A106" s="26" t="s">
        <v>114</v>
      </c>
      <c r="B106" s="26" t="s">
        <v>57</v>
      </c>
      <c r="C106" s="94" t="s">
        <v>1028</v>
      </c>
      <c r="D106" s="82" t="s">
        <v>115</v>
      </c>
      <c r="E106" s="85"/>
      <c r="F106" s="26" t="s">
        <v>422</v>
      </c>
      <c r="G106" s="96">
        <v>0.16</v>
      </c>
      <c r="H106" s="81">
        <f t="shared" si="1"/>
        <v>0</v>
      </c>
    </row>
    <row r="107" spans="1:8" s="2" customFormat="1" ht="36.75" customHeight="1" x14ac:dyDescent="0.2">
      <c r="A107" s="38" t="s">
        <v>883</v>
      </c>
      <c r="B107" s="38" t="s">
        <v>58</v>
      </c>
      <c r="C107" s="93" t="s">
        <v>1026</v>
      </c>
      <c r="D107" s="88" t="s">
        <v>884</v>
      </c>
      <c r="E107" s="89"/>
      <c r="F107" s="38" t="s">
        <v>726</v>
      </c>
      <c r="G107" s="96">
        <v>0.74</v>
      </c>
      <c r="H107" s="39">
        <f t="shared" si="1"/>
        <v>0</v>
      </c>
    </row>
    <row r="108" spans="1:8" s="2" customFormat="1" ht="36.75" customHeight="1" x14ac:dyDescent="0.2">
      <c r="A108" s="26" t="s">
        <v>116</v>
      </c>
      <c r="B108" s="26" t="s">
        <v>43</v>
      </c>
      <c r="C108" s="94" t="s">
        <v>909</v>
      </c>
      <c r="D108" s="82" t="s">
        <v>117</v>
      </c>
      <c r="E108" s="85"/>
      <c r="F108" s="26" t="s">
        <v>423</v>
      </c>
      <c r="G108" s="96">
        <v>7.7</v>
      </c>
      <c r="H108" s="81">
        <f t="shared" si="1"/>
        <v>0</v>
      </c>
    </row>
    <row r="109" spans="1:8" s="2" customFormat="1" ht="36.75" customHeight="1" x14ac:dyDescent="0.2">
      <c r="A109" s="26" t="s">
        <v>118</v>
      </c>
      <c r="B109" s="26" t="s">
        <v>30</v>
      </c>
      <c r="C109" s="94" t="s">
        <v>1027</v>
      </c>
      <c r="D109" s="82" t="s">
        <v>119</v>
      </c>
      <c r="E109" s="85"/>
      <c r="F109" s="26" t="s">
        <v>418</v>
      </c>
      <c r="G109" s="96">
        <v>2.57</v>
      </c>
      <c r="H109" s="81">
        <f t="shared" si="1"/>
        <v>0</v>
      </c>
    </row>
    <row r="110" spans="1:8" s="2" customFormat="1" ht="36.75" customHeight="1" x14ac:dyDescent="0.2">
      <c r="A110" s="26" t="s">
        <v>543</v>
      </c>
      <c r="B110" s="26" t="s">
        <v>30</v>
      </c>
      <c r="C110" s="94" t="s">
        <v>1027</v>
      </c>
      <c r="D110" s="82" t="s">
        <v>544</v>
      </c>
      <c r="E110" s="85"/>
      <c r="F110" s="26" t="s">
        <v>400</v>
      </c>
      <c r="G110" s="96">
        <v>3.67</v>
      </c>
      <c r="H110" s="81">
        <f t="shared" si="1"/>
        <v>0</v>
      </c>
    </row>
    <row r="111" spans="1:8" s="2" customFormat="1" ht="36.75" customHeight="1" x14ac:dyDescent="0.2">
      <c r="A111" s="26" t="s">
        <v>592</v>
      </c>
      <c r="B111" s="26" t="s">
        <v>43</v>
      </c>
      <c r="C111" s="94" t="s">
        <v>997</v>
      </c>
      <c r="D111" s="82" t="s">
        <v>593</v>
      </c>
      <c r="E111" s="85"/>
      <c r="F111" s="26" t="s">
        <v>410</v>
      </c>
      <c r="G111" s="96">
        <v>10.77</v>
      </c>
      <c r="H111" s="81">
        <f t="shared" si="1"/>
        <v>0</v>
      </c>
    </row>
    <row r="112" spans="1:8" s="2" customFormat="1" ht="36.75" customHeight="1" x14ac:dyDescent="0.2">
      <c r="A112" s="26" t="s">
        <v>841</v>
      </c>
      <c r="B112" s="26" t="s">
        <v>52</v>
      </c>
      <c r="C112" s="94" t="s">
        <v>1024</v>
      </c>
      <c r="D112" s="82" t="s">
        <v>848</v>
      </c>
      <c r="E112" s="85"/>
      <c r="F112" s="26" t="s">
        <v>476</v>
      </c>
      <c r="G112" s="96">
        <v>22.19</v>
      </c>
      <c r="H112" s="81">
        <f t="shared" si="1"/>
        <v>0</v>
      </c>
    </row>
    <row r="113" spans="1:8" s="2" customFormat="1" ht="36.75" customHeight="1" x14ac:dyDescent="0.2">
      <c r="A113" s="26" t="s">
        <v>927</v>
      </c>
      <c r="B113" s="26" t="s">
        <v>30</v>
      </c>
      <c r="C113" s="94" t="s">
        <v>997</v>
      </c>
      <c r="D113" s="82" t="s">
        <v>928</v>
      </c>
      <c r="E113" s="85"/>
      <c r="F113" s="26" t="s">
        <v>408</v>
      </c>
      <c r="G113" s="96">
        <v>4.66</v>
      </c>
      <c r="H113" s="81">
        <f t="shared" si="1"/>
        <v>0</v>
      </c>
    </row>
    <row r="114" spans="1:8" s="2" customFormat="1" ht="36.75" customHeight="1" x14ac:dyDescent="0.2">
      <c r="A114" s="26" t="s">
        <v>120</v>
      </c>
      <c r="B114" s="26" t="s">
        <v>47</v>
      </c>
      <c r="C114" s="94" t="s">
        <v>1024</v>
      </c>
      <c r="D114" s="82" t="s">
        <v>121</v>
      </c>
      <c r="E114" s="85"/>
      <c r="F114" s="26" t="s">
        <v>408</v>
      </c>
      <c r="G114" s="96">
        <v>3.05</v>
      </c>
      <c r="H114" s="81">
        <f t="shared" si="1"/>
        <v>0</v>
      </c>
    </row>
    <row r="115" spans="1:8" s="2" customFormat="1" ht="36.75" customHeight="1" x14ac:dyDescent="0.2">
      <c r="A115" s="26" t="s">
        <v>812</v>
      </c>
      <c r="B115" s="26" t="s">
        <v>19</v>
      </c>
      <c r="C115" s="94" t="s">
        <v>1028</v>
      </c>
      <c r="D115" s="82" t="s">
        <v>813</v>
      </c>
      <c r="E115" s="85"/>
      <c r="F115" s="26" t="s">
        <v>420</v>
      </c>
      <c r="G115" s="96">
        <v>2.66</v>
      </c>
      <c r="H115" s="81">
        <f t="shared" si="1"/>
        <v>0</v>
      </c>
    </row>
    <row r="116" spans="1:8" s="2" customFormat="1" ht="36.75" customHeight="1" x14ac:dyDescent="0.2">
      <c r="A116" s="26" t="s">
        <v>122</v>
      </c>
      <c r="B116" s="26" t="s">
        <v>28</v>
      </c>
      <c r="C116" s="94" t="s">
        <v>1029</v>
      </c>
      <c r="D116" s="82" t="s">
        <v>123</v>
      </c>
      <c r="E116" s="85"/>
      <c r="F116" s="26" t="s">
        <v>399</v>
      </c>
      <c r="G116" s="96">
        <v>1.87</v>
      </c>
      <c r="H116" s="81">
        <f t="shared" si="1"/>
        <v>0</v>
      </c>
    </row>
    <row r="117" spans="1:8" s="2" customFormat="1" ht="36.75" customHeight="1" x14ac:dyDescent="0.2">
      <c r="A117" s="26" t="s">
        <v>124</v>
      </c>
      <c r="B117" s="26" t="s">
        <v>30</v>
      </c>
      <c r="C117" s="94" t="s">
        <v>1029</v>
      </c>
      <c r="D117" s="82" t="s">
        <v>125</v>
      </c>
      <c r="E117" s="85"/>
      <c r="F117" s="26" t="s">
        <v>397</v>
      </c>
      <c r="G117" s="96">
        <v>2.57</v>
      </c>
      <c r="H117" s="81">
        <f t="shared" si="1"/>
        <v>0</v>
      </c>
    </row>
    <row r="118" spans="1:8" s="2" customFormat="1" ht="36.75" customHeight="1" x14ac:dyDescent="0.2">
      <c r="A118" s="26" t="s">
        <v>126</v>
      </c>
      <c r="B118" s="26" t="s">
        <v>43</v>
      </c>
      <c r="C118" s="94" t="s">
        <v>1024</v>
      </c>
      <c r="D118" s="82" t="s">
        <v>127</v>
      </c>
      <c r="E118" s="85"/>
      <c r="F118" s="26" t="s">
        <v>410</v>
      </c>
      <c r="G118" s="96">
        <v>1.53</v>
      </c>
      <c r="H118" s="81">
        <f t="shared" si="1"/>
        <v>0</v>
      </c>
    </row>
    <row r="119" spans="1:8" s="2" customFormat="1" ht="36.75" customHeight="1" x14ac:dyDescent="0.2">
      <c r="A119" s="26" t="s">
        <v>128</v>
      </c>
      <c r="B119" s="26" t="s">
        <v>30</v>
      </c>
      <c r="C119" s="94" t="s">
        <v>1029</v>
      </c>
      <c r="D119" s="82" t="s">
        <v>129</v>
      </c>
      <c r="E119" s="85"/>
      <c r="F119" s="26" t="s">
        <v>404</v>
      </c>
      <c r="G119" s="96">
        <v>3.71</v>
      </c>
      <c r="H119" s="81">
        <f t="shared" si="1"/>
        <v>0</v>
      </c>
    </row>
    <row r="120" spans="1:8" s="2" customFormat="1" ht="36.75" customHeight="1" x14ac:dyDescent="0.2">
      <c r="A120" s="26" t="s">
        <v>929</v>
      </c>
      <c r="B120" s="26" t="s">
        <v>30</v>
      </c>
      <c r="C120" s="94" t="s">
        <v>1029</v>
      </c>
      <c r="D120" s="82" t="s">
        <v>930</v>
      </c>
      <c r="E120" s="85"/>
      <c r="F120" s="26" t="s">
        <v>433</v>
      </c>
      <c r="G120" s="96">
        <v>2</v>
      </c>
      <c r="H120" s="81">
        <f t="shared" si="1"/>
        <v>0</v>
      </c>
    </row>
    <row r="121" spans="1:8" s="2" customFormat="1" ht="36.75" customHeight="1" x14ac:dyDescent="0.2">
      <c r="A121" s="26" t="s">
        <v>450</v>
      </c>
      <c r="B121" s="26" t="s">
        <v>19</v>
      </c>
      <c r="C121" s="94" t="s">
        <v>1029</v>
      </c>
      <c r="D121" s="82" t="s">
        <v>453</v>
      </c>
      <c r="E121" s="85"/>
      <c r="F121" s="26" t="s">
        <v>429</v>
      </c>
      <c r="G121" s="96">
        <v>3.39</v>
      </c>
      <c r="H121" s="81">
        <f t="shared" si="1"/>
        <v>0</v>
      </c>
    </row>
    <row r="122" spans="1:8" s="2" customFormat="1" ht="36.75" customHeight="1" x14ac:dyDescent="0.2">
      <c r="A122" s="26" t="s">
        <v>130</v>
      </c>
      <c r="B122" s="26" t="s">
        <v>30</v>
      </c>
      <c r="C122" s="94" t="s">
        <v>1029</v>
      </c>
      <c r="D122" s="82" t="s">
        <v>131</v>
      </c>
      <c r="E122" s="85"/>
      <c r="F122" s="26" t="s">
        <v>425</v>
      </c>
      <c r="G122" s="96">
        <v>4.8</v>
      </c>
      <c r="H122" s="81">
        <f t="shared" si="1"/>
        <v>0</v>
      </c>
    </row>
    <row r="123" spans="1:8" s="2" customFormat="1" ht="36.75" customHeight="1" x14ac:dyDescent="0.2">
      <c r="A123" s="26" t="s">
        <v>132</v>
      </c>
      <c r="B123" s="26" t="s">
        <v>23</v>
      </c>
      <c r="C123" s="94" t="s">
        <v>1029</v>
      </c>
      <c r="D123" s="82" t="s">
        <v>133</v>
      </c>
      <c r="E123" s="85"/>
      <c r="F123" s="26" t="s">
        <v>405</v>
      </c>
      <c r="G123" s="96">
        <v>1.08</v>
      </c>
      <c r="H123" s="81">
        <f t="shared" si="1"/>
        <v>0</v>
      </c>
    </row>
    <row r="124" spans="1:8" s="2" customFormat="1" ht="36.75" customHeight="1" x14ac:dyDescent="0.2">
      <c r="A124" s="26" t="s">
        <v>134</v>
      </c>
      <c r="B124" s="26" t="s">
        <v>30</v>
      </c>
      <c r="C124" s="94" t="s">
        <v>1029</v>
      </c>
      <c r="D124" s="82" t="s">
        <v>135</v>
      </c>
      <c r="E124" s="85"/>
      <c r="F124" s="26" t="s">
        <v>415</v>
      </c>
      <c r="G124" s="96">
        <v>4</v>
      </c>
      <c r="H124" s="81">
        <f t="shared" si="1"/>
        <v>0</v>
      </c>
    </row>
    <row r="125" spans="1:8" s="2" customFormat="1" ht="36.75" customHeight="1" x14ac:dyDescent="0.2">
      <c r="A125" s="26" t="s">
        <v>136</v>
      </c>
      <c r="B125" s="26" t="s">
        <v>57</v>
      </c>
      <c r="C125" s="94" t="s">
        <v>1028</v>
      </c>
      <c r="D125" s="82" t="s">
        <v>137</v>
      </c>
      <c r="E125" s="85"/>
      <c r="F125" s="26" t="s">
        <v>417</v>
      </c>
      <c r="G125" s="96">
        <v>0.59</v>
      </c>
      <c r="H125" s="81">
        <f t="shared" si="1"/>
        <v>0</v>
      </c>
    </row>
    <row r="126" spans="1:8" s="2" customFormat="1" ht="36.75" customHeight="1" x14ac:dyDescent="0.2">
      <c r="A126" s="26" t="s">
        <v>509</v>
      </c>
      <c r="B126" s="26" t="s">
        <v>511</v>
      </c>
      <c r="C126" s="94" t="s">
        <v>1028</v>
      </c>
      <c r="D126" s="82" t="s">
        <v>510</v>
      </c>
      <c r="E126" s="85"/>
      <c r="F126" s="26" t="s">
        <v>514</v>
      </c>
      <c r="G126" s="96">
        <v>0.47</v>
      </c>
      <c r="H126" s="81">
        <f t="shared" si="1"/>
        <v>0</v>
      </c>
    </row>
    <row r="127" spans="1:8" s="2" customFormat="1" ht="36.75" customHeight="1" x14ac:dyDescent="0.2">
      <c r="A127" s="26" t="s">
        <v>1016</v>
      </c>
      <c r="B127" s="26" t="s">
        <v>511</v>
      </c>
      <c r="C127" s="94" t="s">
        <v>1028</v>
      </c>
      <c r="D127" s="82" t="s">
        <v>1017</v>
      </c>
      <c r="E127" s="85"/>
      <c r="F127" s="26" t="s">
        <v>514</v>
      </c>
      <c r="G127" s="96">
        <v>0.43</v>
      </c>
      <c r="H127" s="81">
        <f t="shared" si="1"/>
        <v>0</v>
      </c>
    </row>
    <row r="128" spans="1:8" s="2" customFormat="1" ht="36.75" customHeight="1" x14ac:dyDescent="0.2">
      <c r="A128" s="26" t="s">
        <v>138</v>
      </c>
      <c r="B128" s="26" t="s">
        <v>57</v>
      </c>
      <c r="C128" s="94" t="s">
        <v>1028</v>
      </c>
      <c r="D128" s="82" t="s">
        <v>139</v>
      </c>
      <c r="E128" s="85"/>
      <c r="F128" s="26" t="s">
        <v>426</v>
      </c>
      <c r="G128" s="96">
        <v>0.55000000000000004</v>
      </c>
      <c r="H128" s="81">
        <f t="shared" si="1"/>
        <v>0</v>
      </c>
    </row>
    <row r="129" spans="1:8" s="2" customFormat="1" ht="36.75" customHeight="1" x14ac:dyDescent="0.2">
      <c r="A129" s="26" t="s">
        <v>594</v>
      </c>
      <c r="B129" s="26" t="s">
        <v>30</v>
      </c>
      <c r="C129" s="94" t="s">
        <v>1029</v>
      </c>
      <c r="D129" s="82" t="s">
        <v>595</v>
      </c>
      <c r="E129" s="85"/>
      <c r="F129" s="26" t="s">
        <v>439</v>
      </c>
      <c r="G129" s="96">
        <v>3.14</v>
      </c>
      <c r="H129" s="81">
        <f t="shared" si="1"/>
        <v>0</v>
      </c>
    </row>
    <row r="130" spans="1:8" s="2" customFormat="1" ht="36.75" customHeight="1" x14ac:dyDescent="0.2">
      <c r="A130" s="26" t="s">
        <v>502</v>
      </c>
      <c r="B130" s="26" t="s">
        <v>19</v>
      </c>
      <c r="C130" s="94" t="s">
        <v>1027</v>
      </c>
      <c r="D130" s="82" t="s">
        <v>503</v>
      </c>
      <c r="E130" s="85"/>
      <c r="F130" s="26" t="s">
        <v>403</v>
      </c>
      <c r="G130" s="96">
        <v>3.77</v>
      </c>
      <c r="H130" s="81">
        <f t="shared" si="1"/>
        <v>0</v>
      </c>
    </row>
    <row r="131" spans="1:8" s="2" customFormat="1" ht="36.75" customHeight="1" x14ac:dyDescent="0.2">
      <c r="A131" s="26" t="s">
        <v>140</v>
      </c>
      <c r="B131" s="26" t="s">
        <v>52</v>
      </c>
      <c r="C131" s="94" t="s">
        <v>1024</v>
      </c>
      <c r="D131" s="82" t="s">
        <v>141</v>
      </c>
      <c r="E131" s="85"/>
      <c r="F131" s="26" t="s">
        <v>427</v>
      </c>
      <c r="G131" s="96">
        <v>3.96</v>
      </c>
      <c r="H131" s="81">
        <f t="shared" si="1"/>
        <v>0</v>
      </c>
    </row>
    <row r="132" spans="1:8" s="2" customFormat="1" ht="36.75" customHeight="1" x14ac:dyDescent="0.2">
      <c r="A132" s="26" t="s">
        <v>142</v>
      </c>
      <c r="B132" s="26" t="s">
        <v>30</v>
      </c>
      <c r="C132" s="94" t="s">
        <v>1027</v>
      </c>
      <c r="D132" s="82" t="s">
        <v>143</v>
      </c>
      <c r="E132" s="85"/>
      <c r="F132" s="26" t="s">
        <v>428</v>
      </c>
      <c r="G132" s="96">
        <v>6.43</v>
      </c>
      <c r="H132" s="81">
        <f t="shared" si="1"/>
        <v>0</v>
      </c>
    </row>
    <row r="133" spans="1:8" s="2" customFormat="1" ht="36.75" customHeight="1" x14ac:dyDescent="0.2">
      <c r="A133" s="26" t="s">
        <v>663</v>
      </c>
      <c r="B133" s="26" t="s">
        <v>659</v>
      </c>
      <c r="C133" s="94" t="s">
        <v>1024</v>
      </c>
      <c r="D133" s="82" t="s">
        <v>664</v>
      </c>
      <c r="E133" s="85"/>
      <c r="F133" s="26" t="s">
        <v>430</v>
      </c>
      <c r="G133" s="96">
        <v>1.86</v>
      </c>
      <c r="H133" s="81">
        <f t="shared" si="1"/>
        <v>0</v>
      </c>
    </row>
    <row r="134" spans="1:8" s="2" customFormat="1" ht="36.75" customHeight="1" x14ac:dyDescent="0.2">
      <c r="A134" s="26" t="s">
        <v>665</v>
      </c>
      <c r="B134" s="26" t="s">
        <v>47</v>
      </c>
      <c r="C134" s="94" t="s">
        <v>1024</v>
      </c>
      <c r="D134" s="82" t="s">
        <v>666</v>
      </c>
      <c r="E134" s="85"/>
      <c r="F134" s="26" t="s">
        <v>413</v>
      </c>
      <c r="G134" s="96">
        <v>2.61</v>
      </c>
      <c r="H134" s="81">
        <f t="shared" si="1"/>
        <v>0</v>
      </c>
    </row>
    <row r="135" spans="1:8" s="2" customFormat="1" ht="36.75" customHeight="1" x14ac:dyDescent="0.2">
      <c r="A135" s="26" t="s">
        <v>489</v>
      </c>
      <c r="B135" s="26" t="s">
        <v>43</v>
      </c>
      <c r="C135" s="94" t="s">
        <v>1024</v>
      </c>
      <c r="D135" s="82" t="s">
        <v>490</v>
      </c>
      <c r="E135" s="85"/>
      <c r="F135" s="26" t="s">
        <v>413</v>
      </c>
      <c r="G135" s="96">
        <v>2.64</v>
      </c>
      <c r="H135" s="81">
        <f t="shared" si="1"/>
        <v>0</v>
      </c>
    </row>
    <row r="136" spans="1:8" s="2" customFormat="1" ht="36.75" customHeight="1" x14ac:dyDescent="0.2">
      <c r="A136" s="26" t="s">
        <v>862</v>
      </c>
      <c r="B136" s="26" t="s">
        <v>754</v>
      </c>
      <c r="C136" s="94" t="s">
        <v>1028</v>
      </c>
      <c r="D136" s="82" t="s">
        <v>863</v>
      </c>
      <c r="E136" s="85"/>
      <c r="F136" s="26" t="s">
        <v>430</v>
      </c>
      <c r="G136" s="96">
        <v>1.21</v>
      </c>
      <c r="H136" s="81">
        <f t="shared" si="1"/>
        <v>0</v>
      </c>
    </row>
    <row r="137" spans="1:8" s="2" customFormat="1" ht="36.75" customHeight="1" x14ac:dyDescent="0.2">
      <c r="A137" s="26" t="s">
        <v>145</v>
      </c>
      <c r="B137" s="26" t="s">
        <v>41</v>
      </c>
      <c r="C137" s="94" t="s">
        <v>1029</v>
      </c>
      <c r="D137" s="82" t="s">
        <v>146</v>
      </c>
      <c r="E137" s="85"/>
      <c r="F137" s="26" t="s">
        <v>409</v>
      </c>
      <c r="G137" s="96">
        <v>0.8</v>
      </c>
      <c r="H137" s="81">
        <f t="shared" si="1"/>
        <v>0</v>
      </c>
    </row>
    <row r="138" spans="1:8" s="2" customFormat="1" ht="36.75" customHeight="1" x14ac:dyDescent="0.2">
      <c r="A138" s="26" t="s">
        <v>931</v>
      </c>
      <c r="B138" s="26" t="s">
        <v>30</v>
      </c>
      <c r="C138" s="94" t="s">
        <v>1027</v>
      </c>
      <c r="D138" s="82" t="s">
        <v>932</v>
      </c>
      <c r="E138" s="85"/>
      <c r="F138" s="26" t="s">
        <v>418</v>
      </c>
      <c r="G138" s="96">
        <v>1.93</v>
      </c>
      <c r="H138" s="81">
        <f t="shared" si="1"/>
        <v>0</v>
      </c>
    </row>
    <row r="139" spans="1:8" s="2" customFormat="1" ht="36.75" customHeight="1" x14ac:dyDescent="0.2">
      <c r="A139" s="26" t="s">
        <v>596</v>
      </c>
      <c r="B139" s="26" t="s">
        <v>101</v>
      </c>
      <c r="C139" s="94" t="s">
        <v>995</v>
      </c>
      <c r="D139" s="82" t="s">
        <v>597</v>
      </c>
      <c r="E139" s="85"/>
      <c r="F139" s="26" t="s">
        <v>397</v>
      </c>
      <c r="G139" s="96">
        <v>8.36</v>
      </c>
      <c r="H139" s="81">
        <f t="shared" si="1"/>
        <v>0</v>
      </c>
    </row>
    <row r="140" spans="1:8" s="2" customFormat="1" ht="36.75" customHeight="1" x14ac:dyDescent="0.2">
      <c r="A140" s="26" t="s">
        <v>147</v>
      </c>
      <c r="B140" s="26" t="s">
        <v>103</v>
      </c>
      <c r="C140" s="94" t="s">
        <v>1028</v>
      </c>
      <c r="D140" s="82" t="s">
        <v>148</v>
      </c>
      <c r="E140" s="85"/>
      <c r="F140" s="26" t="s">
        <v>401</v>
      </c>
      <c r="G140" s="96">
        <v>20</v>
      </c>
      <c r="H140" s="81">
        <f t="shared" si="1"/>
        <v>0</v>
      </c>
    </row>
    <row r="141" spans="1:8" s="2" customFormat="1" ht="36.75" customHeight="1" x14ac:dyDescent="0.2">
      <c r="A141" s="38" t="s">
        <v>667</v>
      </c>
      <c r="B141" s="38" t="s">
        <v>16</v>
      </c>
      <c r="C141" s="93" t="s">
        <v>995</v>
      </c>
      <c r="D141" s="88" t="s">
        <v>668</v>
      </c>
      <c r="E141" s="89"/>
      <c r="F141" s="38" t="s">
        <v>423</v>
      </c>
      <c r="G141" s="96">
        <v>3.51</v>
      </c>
      <c r="H141" s="39">
        <f t="shared" si="1"/>
        <v>0</v>
      </c>
    </row>
    <row r="142" spans="1:8" s="2" customFormat="1" ht="36.75" customHeight="1" x14ac:dyDescent="0.2">
      <c r="A142" s="26" t="s">
        <v>885</v>
      </c>
      <c r="B142" s="26" t="s">
        <v>57</v>
      </c>
      <c r="C142" s="94" t="s">
        <v>1028</v>
      </c>
      <c r="D142" s="82" t="s">
        <v>886</v>
      </c>
      <c r="E142" s="85"/>
      <c r="F142" s="26" t="s">
        <v>475</v>
      </c>
      <c r="G142" s="96">
        <v>5.21</v>
      </c>
      <c r="H142" s="81">
        <f t="shared" si="1"/>
        <v>0</v>
      </c>
    </row>
    <row r="143" spans="1:8" s="2" customFormat="1" ht="36.75" customHeight="1" x14ac:dyDescent="0.2">
      <c r="A143" s="26" t="s">
        <v>149</v>
      </c>
      <c r="B143" s="26" t="s">
        <v>47</v>
      </c>
      <c r="C143" s="94" t="s">
        <v>1024</v>
      </c>
      <c r="D143" s="82" t="s">
        <v>857</v>
      </c>
      <c r="E143" s="85"/>
      <c r="F143" s="26" t="s">
        <v>433</v>
      </c>
      <c r="G143" s="96">
        <v>2.39</v>
      </c>
      <c r="H143" s="81">
        <f t="shared" si="1"/>
        <v>0</v>
      </c>
    </row>
    <row r="144" spans="1:8" s="2" customFormat="1" ht="36.75" customHeight="1" x14ac:dyDescent="0.2">
      <c r="A144" s="26" t="s">
        <v>150</v>
      </c>
      <c r="B144" s="26" t="s">
        <v>40</v>
      </c>
      <c r="C144" s="94" t="s">
        <v>1029</v>
      </c>
      <c r="D144" s="82" t="s">
        <v>669</v>
      </c>
      <c r="E144" s="85"/>
      <c r="F144" s="26" t="s">
        <v>398</v>
      </c>
      <c r="G144" s="96">
        <v>1.43</v>
      </c>
      <c r="H144" s="81">
        <f t="shared" ref="H144:H206" si="2">E144*G144</f>
        <v>0</v>
      </c>
    </row>
    <row r="145" spans="1:8" s="2" customFormat="1" ht="36.75" customHeight="1" x14ac:dyDescent="0.2">
      <c r="A145" s="26" t="s">
        <v>576</v>
      </c>
      <c r="B145" s="26" t="s">
        <v>28</v>
      </c>
      <c r="C145" s="94" t="s">
        <v>1029</v>
      </c>
      <c r="D145" s="82" t="s">
        <v>577</v>
      </c>
      <c r="E145" s="85"/>
      <c r="F145" s="26" t="s">
        <v>415</v>
      </c>
      <c r="G145" s="96">
        <v>1.43</v>
      </c>
      <c r="H145" s="81">
        <f t="shared" si="2"/>
        <v>0</v>
      </c>
    </row>
    <row r="146" spans="1:8" s="2" customFormat="1" ht="36.75" customHeight="1" x14ac:dyDescent="0.2">
      <c r="A146" s="26" t="s">
        <v>545</v>
      </c>
      <c r="B146" s="26" t="s">
        <v>30</v>
      </c>
      <c r="C146" s="94" t="s">
        <v>1029</v>
      </c>
      <c r="D146" s="82" t="s">
        <v>546</v>
      </c>
      <c r="E146" s="85"/>
      <c r="F146" s="26" t="s">
        <v>439</v>
      </c>
      <c r="G146" s="96">
        <v>2.86</v>
      </c>
      <c r="H146" s="81">
        <f t="shared" si="2"/>
        <v>0</v>
      </c>
    </row>
    <row r="147" spans="1:8" s="2" customFormat="1" ht="36.75" customHeight="1" x14ac:dyDescent="0.2">
      <c r="A147" s="26" t="s">
        <v>504</v>
      </c>
      <c r="B147" s="26" t="s">
        <v>62</v>
      </c>
      <c r="C147" s="94" t="s">
        <v>1029</v>
      </c>
      <c r="D147" s="82" t="s">
        <v>505</v>
      </c>
      <c r="E147" s="85"/>
      <c r="F147" s="26" t="s">
        <v>415</v>
      </c>
      <c r="G147" s="96">
        <v>9.91</v>
      </c>
      <c r="H147" s="81">
        <f t="shared" si="2"/>
        <v>0</v>
      </c>
    </row>
    <row r="148" spans="1:8" s="2" customFormat="1" ht="36.75" customHeight="1" x14ac:dyDescent="0.2">
      <c r="A148" s="26" t="s">
        <v>151</v>
      </c>
      <c r="B148" s="26" t="s">
        <v>30</v>
      </c>
      <c r="C148" s="94" t="s">
        <v>1029</v>
      </c>
      <c r="D148" s="82" t="s">
        <v>152</v>
      </c>
      <c r="E148" s="85"/>
      <c r="F148" s="26" t="s">
        <v>410</v>
      </c>
      <c r="G148" s="96">
        <v>6.67</v>
      </c>
      <c r="H148" s="81">
        <f t="shared" si="2"/>
        <v>0</v>
      </c>
    </row>
    <row r="149" spans="1:8" s="2" customFormat="1" ht="36.75" customHeight="1" x14ac:dyDescent="0.2">
      <c r="A149" s="38" t="s">
        <v>547</v>
      </c>
      <c r="B149" s="38" t="s">
        <v>58</v>
      </c>
      <c r="C149" s="93" t="s">
        <v>1027</v>
      </c>
      <c r="D149" s="88" t="s">
        <v>548</v>
      </c>
      <c r="E149" s="89"/>
      <c r="F149" s="38" t="s">
        <v>429</v>
      </c>
      <c r="G149" s="96">
        <v>13.33</v>
      </c>
      <c r="H149" s="39">
        <f t="shared" si="2"/>
        <v>0</v>
      </c>
    </row>
    <row r="150" spans="1:8" s="2" customFormat="1" ht="36.75" customHeight="1" x14ac:dyDescent="0.2">
      <c r="A150" s="38" t="s">
        <v>549</v>
      </c>
      <c r="B150" s="38" t="s">
        <v>58</v>
      </c>
      <c r="C150" s="93" t="s">
        <v>1027</v>
      </c>
      <c r="D150" s="88" t="s">
        <v>550</v>
      </c>
      <c r="E150" s="89"/>
      <c r="F150" s="38" t="s">
        <v>403</v>
      </c>
      <c r="G150" s="96">
        <v>2.73</v>
      </c>
      <c r="H150" s="39">
        <f t="shared" si="2"/>
        <v>0</v>
      </c>
    </row>
    <row r="151" spans="1:8" s="2" customFormat="1" ht="36.75" customHeight="1" x14ac:dyDescent="0.2">
      <c r="A151" s="26" t="s">
        <v>478</v>
      </c>
      <c r="B151" s="26" t="s">
        <v>41</v>
      </c>
      <c r="C151" s="94" t="s">
        <v>1029</v>
      </c>
      <c r="D151" s="82" t="s">
        <v>479</v>
      </c>
      <c r="E151" s="85"/>
      <c r="F151" s="26" t="s">
        <v>399</v>
      </c>
      <c r="G151" s="96">
        <v>5.15</v>
      </c>
      <c r="H151" s="81">
        <f t="shared" si="2"/>
        <v>0</v>
      </c>
    </row>
    <row r="152" spans="1:8" s="2" customFormat="1" ht="36.75" customHeight="1" x14ac:dyDescent="0.2">
      <c r="A152" s="26" t="s">
        <v>153</v>
      </c>
      <c r="B152" s="26" t="s">
        <v>45</v>
      </c>
      <c r="C152" s="94" t="s">
        <v>1024</v>
      </c>
      <c r="D152" s="82" t="s">
        <v>154</v>
      </c>
      <c r="E152" s="85"/>
      <c r="F152" s="26" t="s">
        <v>408</v>
      </c>
      <c r="G152" s="96">
        <v>6.4</v>
      </c>
      <c r="H152" s="81">
        <f t="shared" si="2"/>
        <v>0</v>
      </c>
    </row>
    <row r="153" spans="1:8" s="2" customFormat="1" ht="36.75" customHeight="1" x14ac:dyDescent="0.2">
      <c r="A153" s="26" t="s">
        <v>155</v>
      </c>
      <c r="B153" s="26" t="s">
        <v>62</v>
      </c>
      <c r="C153" s="94" t="s">
        <v>996</v>
      </c>
      <c r="D153" s="82" t="s">
        <v>156</v>
      </c>
      <c r="E153" s="85"/>
      <c r="F153" s="26" t="s">
        <v>400</v>
      </c>
      <c r="G153" s="96">
        <v>9.89</v>
      </c>
      <c r="H153" s="81">
        <f t="shared" si="2"/>
        <v>0</v>
      </c>
    </row>
    <row r="154" spans="1:8" s="2" customFormat="1" ht="36.75" customHeight="1" x14ac:dyDescent="0.2">
      <c r="A154" s="26" t="s">
        <v>157</v>
      </c>
      <c r="B154" s="26" t="s">
        <v>40</v>
      </c>
      <c r="C154" s="94" t="s">
        <v>996</v>
      </c>
      <c r="D154" s="82" t="s">
        <v>158</v>
      </c>
      <c r="E154" s="85"/>
      <c r="F154" s="26" t="s">
        <v>408</v>
      </c>
      <c r="G154" s="96">
        <v>9.7100000000000009</v>
      </c>
      <c r="H154" s="81">
        <f t="shared" si="2"/>
        <v>0</v>
      </c>
    </row>
    <row r="155" spans="1:8" s="2" customFormat="1" ht="36.75" customHeight="1" x14ac:dyDescent="0.2">
      <c r="A155" s="26" t="s">
        <v>159</v>
      </c>
      <c r="B155" s="26" t="s">
        <v>30</v>
      </c>
      <c r="C155" s="94" t="s">
        <v>1029</v>
      </c>
      <c r="D155" s="82" t="s">
        <v>160</v>
      </c>
      <c r="E155" s="85"/>
      <c r="F155" s="26" t="s">
        <v>405</v>
      </c>
      <c r="G155" s="96">
        <v>4.59</v>
      </c>
      <c r="H155" s="81">
        <f t="shared" si="2"/>
        <v>0</v>
      </c>
    </row>
    <row r="156" spans="1:8" s="2" customFormat="1" ht="36.75" customHeight="1" x14ac:dyDescent="0.2">
      <c r="A156" s="26" t="s">
        <v>1000</v>
      </c>
      <c r="B156" s="26" t="s">
        <v>52</v>
      </c>
      <c r="C156" s="94" t="s">
        <v>1024</v>
      </c>
      <c r="D156" s="82" t="s">
        <v>1001</v>
      </c>
      <c r="E156" s="85"/>
      <c r="F156" s="26" t="s">
        <v>1002</v>
      </c>
      <c r="G156" s="96">
        <v>4.8</v>
      </c>
      <c r="H156" s="81">
        <f t="shared" si="2"/>
        <v>0</v>
      </c>
    </row>
    <row r="157" spans="1:8" s="2" customFormat="1" ht="36.75" customHeight="1" x14ac:dyDescent="0.2">
      <c r="A157" s="35" t="s">
        <v>161</v>
      </c>
      <c r="B157" s="35" t="s">
        <v>62</v>
      </c>
      <c r="C157" s="95" t="s">
        <v>1029</v>
      </c>
      <c r="D157" s="90" t="s">
        <v>162</v>
      </c>
      <c r="E157" s="91"/>
      <c r="F157" s="35" t="s">
        <v>399</v>
      </c>
      <c r="G157" s="96">
        <v>7.13</v>
      </c>
      <c r="H157" s="36">
        <f t="shared" si="2"/>
        <v>0</v>
      </c>
    </row>
    <row r="158" spans="1:8" s="2" customFormat="1" ht="36.75" customHeight="1" x14ac:dyDescent="0.2">
      <c r="A158" s="26" t="s">
        <v>163</v>
      </c>
      <c r="B158" s="26" t="s">
        <v>19</v>
      </c>
      <c r="C158" s="94" t="s">
        <v>1029</v>
      </c>
      <c r="D158" s="82" t="s">
        <v>164</v>
      </c>
      <c r="E158" s="85"/>
      <c r="F158" s="26" t="s">
        <v>429</v>
      </c>
      <c r="G158" s="96">
        <v>3.09</v>
      </c>
      <c r="H158" s="81">
        <f t="shared" si="2"/>
        <v>0</v>
      </c>
    </row>
    <row r="159" spans="1:8" s="2" customFormat="1" ht="36.75" customHeight="1" x14ac:dyDescent="0.2">
      <c r="A159" s="26" t="s">
        <v>800</v>
      </c>
      <c r="B159" s="26" t="s">
        <v>65</v>
      </c>
      <c r="C159" s="94" t="s">
        <v>1024</v>
      </c>
      <c r="D159" s="82" t="s">
        <v>801</v>
      </c>
      <c r="E159" s="86"/>
      <c r="F159" s="26" t="s">
        <v>415</v>
      </c>
      <c r="G159" s="96">
        <v>0.69</v>
      </c>
      <c r="H159" s="81">
        <f t="shared" si="2"/>
        <v>0</v>
      </c>
    </row>
    <row r="160" spans="1:8" s="2" customFormat="1" ht="36.75" customHeight="1" x14ac:dyDescent="0.2">
      <c r="A160" s="26" t="s">
        <v>598</v>
      </c>
      <c r="B160" s="26" t="s">
        <v>101</v>
      </c>
      <c r="C160" s="94" t="s">
        <v>1027</v>
      </c>
      <c r="D160" s="82" t="s">
        <v>599</v>
      </c>
      <c r="E160" s="85"/>
      <c r="F160" s="26" t="s">
        <v>408</v>
      </c>
      <c r="G160" s="96">
        <v>2.5</v>
      </c>
      <c r="H160" s="81">
        <f t="shared" si="2"/>
        <v>0</v>
      </c>
    </row>
    <row r="161" spans="1:8" s="2" customFormat="1" ht="36.75" customHeight="1" x14ac:dyDescent="0.2">
      <c r="A161" s="26" t="s">
        <v>165</v>
      </c>
      <c r="B161" s="26" t="s">
        <v>30</v>
      </c>
      <c r="C161" s="94" t="s">
        <v>1025</v>
      </c>
      <c r="D161" s="82" t="s">
        <v>166</v>
      </c>
      <c r="E161" s="85"/>
      <c r="F161" s="26" t="s">
        <v>400</v>
      </c>
      <c r="G161" s="96">
        <v>2.57</v>
      </c>
      <c r="H161" s="81">
        <f t="shared" si="2"/>
        <v>0</v>
      </c>
    </row>
    <row r="162" spans="1:8" s="2" customFormat="1" ht="36.75" customHeight="1" x14ac:dyDescent="0.2">
      <c r="A162" s="26" t="s">
        <v>167</v>
      </c>
      <c r="B162" s="26" t="s">
        <v>30</v>
      </c>
      <c r="C162" s="94" t="s">
        <v>1025</v>
      </c>
      <c r="D162" s="82" t="s">
        <v>168</v>
      </c>
      <c r="E162" s="85"/>
      <c r="F162" s="26" t="s">
        <v>408</v>
      </c>
      <c r="G162" s="96">
        <v>3.57</v>
      </c>
      <c r="H162" s="81">
        <f t="shared" si="2"/>
        <v>0</v>
      </c>
    </row>
    <row r="163" spans="1:8" s="2" customFormat="1" ht="36.75" customHeight="1" x14ac:dyDescent="0.2">
      <c r="A163" s="26" t="s">
        <v>729</v>
      </c>
      <c r="B163" s="26" t="s">
        <v>57</v>
      </c>
      <c r="C163" s="94" t="s">
        <v>1028</v>
      </c>
      <c r="D163" s="82" t="s">
        <v>730</v>
      </c>
      <c r="E163" s="85"/>
      <c r="F163" s="26" t="s">
        <v>475</v>
      </c>
      <c r="G163" s="96">
        <v>1.6</v>
      </c>
      <c r="H163" s="81">
        <f t="shared" si="2"/>
        <v>0</v>
      </c>
    </row>
    <row r="164" spans="1:8" s="2" customFormat="1" ht="36.75" customHeight="1" x14ac:dyDescent="0.2">
      <c r="A164" s="38" t="s">
        <v>169</v>
      </c>
      <c r="B164" s="38" t="s">
        <v>16</v>
      </c>
      <c r="C164" s="93" t="s">
        <v>995</v>
      </c>
      <c r="D164" s="88" t="s">
        <v>170</v>
      </c>
      <c r="E164" s="89"/>
      <c r="F164" s="38" t="s">
        <v>406</v>
      </c>
      <c r="G164" s="96">
        <v>5.75</v>
      </c>
      <c r="H164" s="39">
        <f t="shared" si="2"/>
        <v>0</v>
      </c>
    </row>
    <row r="165" spans="1:8" s="2" customFormat="1" ht="36.75" customHeight="1" x14ac:dyDescent="0.2">
      <c r="A165" s="26" t="s">
        <v>171</v>
      </c>
      <c r="B165" s="26" t="s">
        <v>30</v>
      </c>
      <c r="C165" s="94" t="s">
        <v>1029</v>
      </c>
      <c r="D165" s="82" t="s">
        <v>172</v>
      </c>
      <c r="E165" s="85"/>
      <c r="F165" s="26" t="s">
        <v>431</v>
      </c>
      <c r="G165" s="96">
        <v>2.2999999999999998</v>
      </c>
      <c r="H165" s="81">
        <f t="shared" si="2"/>
        <v>0</v>
      </c>
    </row>
    <row r="166" spans="1:8" s="2" customFormat="1" ht="36.75" customHeight="1" x14ac:dyDescent="0.2">
      <c r="A166" s="26" t="s">
        <v>173</v>
      </c>
      <c r="B166" s="26" t="s">
        <v>57</v>
      </c>
      <c r="C166" s="94" t="s">
        <v>1028</v>
      </c>
      <c r="D166" s="82" t="s">
        <v>174</v>
      </c>
      <c r="E166" s="85"/>
      <c r="F166" s="26" t="s">
        <v>417</v>
      </c>
      <c r="G166" s="96">
        <v>0.73</v>
      </c>
      <c r="H166" s="81">
        <f t="shared" si="2"/>
        <v>0</v>
      </c>
    </row>
    <row r="167" spans="1:8" s="2" customFormat="1" ht="36.75" customHeight="1" x14ac:dyDescent="0.2">
      <c r="A167" s="26" t="s">
        <v>970</v>
      </c>
      <c r="B167" s="26" t="s">
        <v>971</v>
      </c>
      <c r="C167" s="94" t="s">
        <v>1028</v>
      </c>
      <c r="D167" s="82" t="s">
        <v>983</v>
      </c>
      <c r="E167" s="85"/>
      <c r="F167" s="26" t="s">
        <v>477</v>
      </c>
      <c r="G167" s="96">
        <v>4</v>
      </c>
      <c r="H167" s="81">
        <f t="shared" si="2"/>
        <v>0</v>
      </c>
    </row>
    <row r="168" spans="1:8" s="2" customFormat="1" ht="36.75" customHeight="1" x14ac:dyDescent="0.2">
      <c r="A168" s="26" t="s">
        <v>600</v>
      </c>
      <c r="B168" s="26" t="s">
        <v>511</v>
      </c>
      <c r="C168" s="94" t="s">
        <v>993</v>
      </c>
      <c r="D168" s="82" t="s">
        <v>601</v>
      </c>
      <c r="E168" s="85"/>
      <c r="F168" s="26" t="s">
        <v>653</v>
      </c>
      <c r="G168" s="96">
        <v>0.17</v>
      </c>
      <c r="H168" s="81">
        <f t="shared" si="2"/>
        <v>0</v>
      </c>
    </row>
    <row r="169" spans="1:8" s="2" customFormat="1" ht="36.75" customHeight="1" x14ac:dyDescent="0.2">
      <c r="A169" s="26" t="s">
        <v>175</v>
      </c>
      <c r="B169" s="26" t="s">
        <v>19</v>
      </c>
      <c r="C169" s="94" t="s">
        <v>993</v>
      </c>
      <c r="D169" s="82" t="s">
        <v>176</v>
      </c>
      <c r="E169" s="85"/>
      <c r="F169" s="26" t="s">
        <v>432</v>
      </c>
      <c r="G169" s="96">
        <v>1.1599999999999999</v>
      </c>
      <c r="H169" s="81">
        <f t="shared" si="2"/>
        <v>0</v>
      </c>
    </row>
    <row r="170" spans="1:8" s="2" customFormat="1" ht="36.75" customHeight="1" x14ac:dyDescent="0.2">
      <c r="A170" s="26" t="s">
        <v>756</v>
      </c>
      <c r="B170" s="26" t="s">
        <v>757</v>
      </c>
      <c r="C170" s="94" t="s">
        <v>993</v>
      </c>
      <c r="D170" s="82" t="s">
        <v>758</v>
      </c>
      <c r="E170" s="85"/>
      <c r="F170" s="26" t="s">
        <v>420</v>
      </c>
      <c r="G170" s="96">
        <v>2.14</v>
      </c>
      <c r="H170" s="81">
        <f t="shared" si="2"/>
        <v>0</v>
      </c>
    </row>
    <row r="171" spans="1:8" s="2" customFormat="1" ht="36.75" customHeight="1" x14ac:dyDescent="0.2">
      <c r="A171" s="26" t="s">
        <v>459</v>
      </c>
      <c r="B171" s="26" t="s">
        <v>30</v>
      </c>
      <c r="C171" s="94" t="s">
        <v>1029</v>
      </c>
      <c r="D171" s="82" t="s">
        <v>460</v>
      </c>
      <c r="E171" s="85"/>
      <c r="F171" s="26" t="s">
        <v>439</v>
      </c>
      <c r="G171" s="96">
        <v>1</v>
      </c>
      <c r="H171" s="81">
        <f t="shared" si="2"/>
        <v>0</v>
      </c>
    </row>
    <row r="172" spans="1:8" s="2" customFormat="1" ht="36.75" customHeight="1" x14ac:dyDescent="0.2">
      <c r="A172" s="26" t="s">
        <v>699</v>
      </c>
      <c r="B172" s="26" t="s">
        <v>693</v>
      </c>
      <c r="C172" s="94" t="s">
        <v>1029</v>
      </c>
      <c r="D172" s="82" t="s">
        <v>700</v>
      </c>
      <c r="E172" s="85"/>
      <c r="F172" s="26" t="s">
        <v>410</v>
      </c>
      <c r="G172" s="96">
        <v>2.19</v>
      </c>
      <c r="H172" s="81">
        <f t="shared" si="2"/>
        <v>0</v>
      </c>
    </row>
    <row r="173" spans="1:8" s="2" customFormat="1" ht="36.75" customHeight="1" x14ac:dyDescent="0.2">
      <c r="A173" s="26" t="s">
        <v>701</v>
      </c>
      <c r="B173" s="26" t="s">
        <v>693</v>
      </c>
      <c r="C173" s="94" t="s">
        <v>1027</v>
      </c>
      <c r="D173" s="82" t="s">
        <v>702</v>
      </c>
      <c r="E173" s="85"/>
      <c r="F173" s="26" t="s">
        <v>413</v>
      </c>
      <c r="G173" s="96">
        <v>3.77</v>
      </c>
      <c r="H173" s="81">
        <f t="shared" si="2"/>
        <v>0</v>
      </c>
    </row>
    <row r="174" spans="1:8" s="2" customFormat="1" ht="36.75" customHeight="1" x14ac:dyDescent="0.2">
      <c r="A174" s="26" t="s">
        <v>887</v>
      </c>
      <c r="B174" s="26" t="s">
        <v>888</v>
      </c>
      <c r="C174" s="94" t="s">
        <v>1029</v>
      </c>
      <c r="D174" s="82" t="s">
        <v>889</v>
      </c>
      <c r="E174" s="85"/>
      <c r="F174" s="26" t="s">
        <v>655</v>
      </c>
      <c r="G174" s="96">
        <v>1.18</v>
      </c>
      <c r="H174" s="81">
        <f t="shared" si="2"/>
        <v>0</v>
      </c>
    </row>
    <row r="175" spans="1:8" s="2" customFormat="1" ht="36.75" customHeight="1" x14ac:dyDescent="0.2">
      <c r="A175" s="26" t="s">
        <v>177</v>
      </c>
      <c r="B175" s="26" t="s">
        <v>108</v>
      </c>
      <c r="C175" s="94" t="s">
        <v>1024</v>
      </c>
      <c r="D175" s="82" t="s">
        <v>178</v>
      </c>
      <c r="E175" s="85"/>
      <c r="F175" s="26" t="s">
        <v>406</v>
      </c>
      <c r="G175" s="96">
        <v>0.43</v>
      </c>
      <c r="H175" s="81">
        <f t="shared" si="2"/>
        <v>0</v>
      </c>
    </row>
    <row r="176" spans="1:8" s="2" customFormat="1" ht="36.75" customHeight="1" x14ac:dyDescent="0.2">
      <c r="A176" s="26" t="s">
        <v>179</v>
      </c>
      <c r="B176" s="26" t="s">
        <v>99</v>
      </c>
      <c r="C176" s="94" t="s">
        <v>1024</v>
      </c>
      <c r="D176" s="82" t="s">
        <v>180</v>
      </c>
      <c r="E176" s="85"/>
      <c r="F176" s="26" t="s">
        <v>413</v>
      </c>
      <c r="G176" s="96">
        <v>0.43</v>
      </c>
      <c r="H176" s="81">
        <f t="shared" si="2"/>
        <v>0</v>
      </c>
    </row>
    <row r="177" spans="1:8" s="2" customFormat="1" ht="36.75" customHeight="1" x14ac:dyDescent="0.2">
      <c r="A177" s="26" t="s">
        <v>181</v>
      </c>
      <c r="B177" s="26" t="s">
        <v>47</v>
      </c>
      <c r="C177" s="94" t="s">
        <v>1024</v>
      </c>
      <c r="D177" s="82" t="s">
        <v>182</v>
      </c>
      <c r="E177" s="85"/>
      <c r="F177" s="26" t="s">
        <v>409</v>
      </c>
      <c r="G177" s="96">
        <v>0.74</v>
      </c>
      <c r="H177" s="81">
        <f t="shared" si="2"/>
        <v>0</v>
      </c>
    </row>
    <row r="178" spans="1:8" s="2" customFormat="1" ht="36.75" customHeight="1" x14ac:dyDescent="0.2">
      <c r="A178" s="26" t="s">
        <v>183</v>
      </c>
      <c r="B178" s="26" t="s">
        <v>108</v>
      </c>
      <c r="C178" s="94" t="s">
        <v>1024</v>
      </c>
      <c r="D178" s="82" t="s">
        <v>184</v>
      </c>
      <c r="E178" s="85"/>
      <c r="F178" s="26" t="s">
        <v>408</v>
      </c>
      <c r="G178" s="96">
        <v>0.47</v>
      </c>
      <c r="H178" s="81">
        <f t="shared" si="2"/>
        <v>0</v>
      </c>
    </row>
    <row r="179" spans="1:8" s="2" customFormat="1" ht="36.75" customHeight="1" x14ac:dyDescent="0.2">
      <c r="A179" s="26" t="s">
        <v>185</v>
      </c>
      <c r="B179" s="26" t="s">
        <v>43</v>
      </c>
      <c r="C179" s="94" t="s">
        <v>1024</v>
      </c>
      <c r="D179" s="82" t="s">
        <v>186</v>
      </c>
      <c r="E179" s="85"/>
      <c r="F179" s="26" t="s">
        <v>413</v>
      </c>
      <c r="G179" s="96">
        <v>0.64</v>
      </c>
      <c r="H179" s="81">
        <f t="shared" si="2"/>
        <v>0</v>
      </c>
    </row>
    <row r="180" spans="1:8" s="2" customFormat="1" ht="36.75" customHeight="1" x14ac:dyDescent="0.2">
      <c r="A180" s="26" t="s">
        <v>529</v>
      </c>
      <c r="B180" s="26" t="s">
        <v>52</v>
      </c>
      <c r="C180" s="94" t="s">
        <v>1024</v>
      </c>
      <c r="D180" s="82" t="s">
        <v>530</v>
      </c>
      <c r="E180" s="85"/>
      <c r="F180" s="26" t="s">
        <v>433</v>
      </c>
      <c r="G180" s="96">
        <v>0.84</v>
      </c>
      <c r="H180" s="81">
        <f t="shared" si="2"/>
        <v>0</v>
      </c>
    </row>
    <row r="181" spans="1:8" s="2" customFormat="1" ht="36.75" customHeight="1" x14ac:dyDescent="0.2">
      <c r="A181" s="35" t="s">
        <v>792</v>
      </c>
      <c r="B181" s="35" t="s">
        <v>65</v>
      </c>
      <c r="C181" s="95" t="s">
        <v>1024</v>
      </c>
      <c r="D181" s="90" t="s">
        <v>793</v>
      </c>
      <c r="E181" s="91"/>
      <c r="F181" s="35" t="s">
        <v>424</v>
      </c>
      <c r="G181" s="96">
        <v>0.5</v>
      </c>
      <c r="H181" s="36">
        <f t="shared" si="2"/>
        <v>0</v>
      </c>
    </row>
    <row r="182" spans="1:8" s="2" customFormat="1" ht="36.75" customHeight="1" x14ac:dyDescent="0.2">
      <c r="A182" s="26" t="s">
        <v>188</v>
      </c>
      <c r="B182" s="26" t="s">
        <v>19</v>
      </c>
      <c r="C182" s="94" t="s">
        <v>1029</v>
      </c>
      <c r="D182" s="82" t="s">
        <v>189</v>
      </c>
      <c r="E182" s="85"/>
      <c r="F182" s="26" t="s">
        <v>406</v>
      </c>
      <c r="G182" s="96">
        <v>2.83</v>
      </c>
      <c r="H182" s="81">
        <f t="shared" si="2"/>
        <v>0</v>
      </c>
    </row>
    <row r="183" spans="1:8" s="2" customFormat="1" ht="36.75" customHeight="1" x14ac:dyDescent="0.2">
      <c r="A183" s="26" t="s">
        <v>190</v>
      </c>
      <c r="B183" s="26" t="s">
        <v>25</v>
      </c>
      <c r="C183" s="94" t="s">
        <v>996</v>
      </c>
      <c r="D183" s="82" t="s">
        <v>191</v>
      </c>
      <c r="E183" s="85"/>
      <c r="F183" s="26" t="s">
        <v>421</v>
      </c>
      <c r="G183" s="96">
        <v>2</v>
      </c>
      <c r="H183" s="81">
        <f t="shared" si="2"/>
        <v>0</v>
      </c>
    </row>
    <row r="184" spans="1:8" s="2" customFormat="1" ht="36.75" customHeight="1" x14ac:dyDescent="0.2">
      <c r="A184" s="26" t="s">
        <v>192</v>
      </c>
      <c r="B184" s="26" t="s">
        <v>30</v>
      </c>
      <c r="C184" s="94" t="s">
        <v>1029</v>
      </c>
      <c r="D184" s="82" t="s">
        <v>193</v>
      </c>
      <c r="E184" s="85"/>
      <c r="F184" s="26" t="s">
        <v>398</v>
      </c>
      <c r="G184" s="96">
        <v>1.1399999999999999</v>
      </c>
      <c r="H184" s="81">
        <f t="shared" si="2"/>
        <v>0</v>
      </c>
    </row>
    <row r="185" spans="1:8" s="2" customFormat="1" ht="36.75" customHeight="1" x14ac:dyDescent="0.2">
      <c r="A185" s="26" t="s">
        <v>578</v>
      </c>
      <c r="B185" s="26" t="s">
        <v>41</v>
      </c>
      <c r="C185" s="94" t="s">
        <v>1029</v>
      </c>
      <c r="D185" s="82" t="s">
        <v>579</v>
      </c>
      <c r="E185" s="85"/>
      <c r="F185" s="26" t="s">
        <v>403</v>
      </c>
      <c r="G185" s="96">
        <v>0.43</v>
      </c>
      <c r="H185" s="81">
        <f t="shared" si="2"/>
        <v>0</v>
      </c>
    </row>
    <row r="186" spans="1:8" s="2" customFormat="1" ht="36.75" customHeight="1" x14ac:dyDescent="0.2">
      <c r="A186" s="26" t="s">
        <v>194</v>
      </c>
      <c r="B186" s="26" t="s">
        <v>60</v>
      </c>
      <c r="C186" s="94" t="s">
        <v>1029</v>
      </c>
      <c r="D186" s="82" t="s">
        <v>195</v>
      </c>
      <c r="E186" s="85"/>
      <c r="F186" s="26" t="s">
        <v>405</v>
      </c>
      <c r="G186" s="96">
        <v>3.29</v>
      </c>
      <c r="H186" s="81">
        <f t="shared" si="2"/>
        <v>0</v>
      </c>
    </row>
    <row r="187" spans="1:8" s="2" customFormat="1" ht="36.75" customHeight="1" x14ac:dyDescent="0.2">
      <c r="A187" s="26" t="s">
        <v>842</v>
      </c>
      <c r="B187" s="26" t="s">
        <v>47</v>
      </c>
      <c r="C187" s="94" t="s">
        <v>1024</v>
      </c>
      <c r="D187" s="82" t="s">
        <v>849</v>
      </c>
      <c r="E187" s="85"/>
      <c r="F187" s="26" t="s">
        <v>400</v>
      </c>
      <c r="G187" s="96">
        <v>1.71</v>
      </c>
      <c r="H187" s="81">
        <f t="shared" si="2"/>
        <v>0</v>
      </c>
    </row>
    <row r="188" spans="1:8" s="2" customFormat="1" ht="36.75" customHeight="1" x14ac:dyDescent="0.2">
      <c r="A188" s="26" t="s">
        <v>461</v>
      </c>
      <c r="B188" s="26" t="s">
        <v>45</v>
      </c>
      <c r="C188" s="94" t="s">
        <v>1024</v>
      </c>
      <c r="D188" s="82" t="s">
        <v>462</v>
      </c>
      <c r="E188" s="85"/>
      <c r="F188" s="26" t="s">
        <v>439</v>
      </c>
      <c r="G188" s="96">
        <v>1.29</v>
      </c>
      <c r="H188" s="81">
        <f t="shared" si="2"/>
        <v>0</v>
      </c>
    </row>
    <row r="189" spans="1:8" s="2" customFormat="1" ht="36.75" customHeight="1" x14ac:dyDescent="0.2">
      <c r="A189" s="26" t="s">
        <v>731</v>
      </c>
      <c r="B189" s="26" t="s">
        <v>36</v>
      </c>
      <c r="C189" s="94" t="s">
        <v>1024</v>
      </c>
      <c r="D189" s="82" t="s">
        <v>732</v>
      </c>
      <c r="E189" s="85"/>
      <c r="F189" s="26" t="s">
        <v>439</v>
      </c>
      <c r="G189" s="96">
        <v>1</v>
      </c>
      <c r="H189" s="81">
        <f t="shared" si="2"/>
        <v>0</v>
      </c>
    </row>
    <row r="190" spans="1:8" s="2" customFormat="1" ht="36.75" customHeight="1" x14ac:dyDescent="0.2">
      <c r="A190" s="26" t="s">
        <v>1006</v>
      </c>
      <c r="B190" s="26" t="s">
        <v>52</v>
      </c>
      <c r="C190" s="94" t="s">
        <v>1024</v>
      </c>
      <c r="D190" s="82" t="s">
        <v>1007</v>
      </c>
      <c r="E190" s="85"/>
      <c r="F190" s="26" t="s">
        <v>1008</v>
      </c>
      <c r="G190" s="96">
        <v>0.8</v>
      </c>
      <c r="H190" s="81">
        <f t="shared" si="2"/>
        <v>0</v>
      </c>
    </row>
    <row r="191" spans="1:8" s="2" customFormat="1" ht="36.75" customHeight="1" x14ac:dyDescent="0.2">
      <c r="A191" s="26" t="s">
        <v>703</v>
      </c>
      <c r="B191" s="26" t="s">
        <v>693</v>
      </c>
      <c r="C191" s="94" t="s">
        <v>1029</v>
      </c>
      <c r="D191" s="82" t="s">
        <v>704</v>
      </c>
      <c r="E191" s="85"/>
      <c r="F191" s="26" t="s">
        <v>432</v>
      </c>
      <c r="G191" s="96">
        <v>1.73</v>
      </c>
      <c r="H191" s="81">
        <f t="shared" si="2"/>
        <v>0</v>
      </c>
    </row>
    <row r="192" spans="1:8" s="2" customFormat="1" ht="36.75" customHeight="1" x14ac:dyDescent="0.2">
      <c r="A192" s="26" t="s">
        <v>196</v>
      </c>
      <c r="B192" s="26" t="s">
        <v>19</v>
      </c>
      <c r="C192" s="94" t="s">
        <v>1029</v>
      </c>
      <c r="D192" s="82" t="s">
        <v>850</v>
      </c>
      <c r="E192" s="85"/>
      <c r="F192" s="26" t="s">
        <v>429</v>
      </c>
      <c r="G192" s="96">
        <v>0.67</v>
      </c>
      <c r="H192" s="81">
        <f t="shared" si="2"/>
        <v>0</v>
      </c>
    </row>
    <row r="193" spans="1:8" s="2" customFormat="1" ht="36.75" customHeight="1" x14ac:dyDescent="0.2">
      <c r="A193" s="26" t="s">
        <v>602</v>
      </c>
      <c r="B193" s="26" t="s">
        <v>30</v>
      </c>
      <c r="C193" s="94" t="s">
        <v>1029</v>
      </c>
      <c r="D193" s="82" t="s">
        <v>603</v>
      </c>
      <c r="E193" s="85"/>
      <c r="F193" s="26" t="s">
        <v>433</v>
      </c>
      <c r="G193" s="96">
        <v>3.43</v>
      </c>
      <c r="H193" s="81">
        <f t="shared" si="2"/>
        <v>0</v>
      </c>
    </row>
    <row r="194" spans="1:8" s="2" customFormat="1" ht="36.75" customHeight="1" x14ac:dyDescent="0.2">
      <c r="A194" s="26" t="s">
        <v>1009</v>
      </c>
      <c r="B194" s="26" t="s">
        <v>52</v>
      </c>
      <c r="C194" s="94" t="s">
        <v>1024</v>
      </c>
      <c r="D194" s="82" t="s">
        <v>1010</v>
      </c>
      <c r="E194" s="85"/>
      <c r="F194" s="26" t="s">
        <v>1011</v>
      </c>
      <c r="G194" s="96">
        <v>0.96</v>
      </c>
      <c r="H194" s="81">
        <f t="shared" si="2"/>
        <v>0</v>
      </c>
    </row>
    <row r="195" spans="1:8" s="2" customFormat="1" ht="36.75" customHeight="1" x14ac:dyDescent="0.2">
      <c r="A195" s="26" t="s">
        <v>604</v>
      </c>
      <c r="B195" s="26" t="s">
        <v>40</v>
      </c>
      <c r="C195" s="94" t="s">
        <v>1029</v>
      </c>
      <c r="D195" s="82" t="s">
        <v>605</v>
      </c>
      <c r="E195" s="86"/>
      <c r="F195" s="26" t="s">
        <v>404</v>
      </c>
      <c r="G195" s="96">
        <v>3.47</v>
      </c>
      <c r="H195" s="81">
        <f t="shared" si="2"/>
        <v>0</v>
      </c>
    </row>
    <row r="196" spans="1:8" s="2" customFormat="1" ht="36.75" customHeight="1" x14ac:dyDescent="0.2">
      <c r="A196" s="38" t="s">
        <v>197</v>
      </c>
      <c r="B196" s="38" t="s">
        <v>28</v>
      </c>
      <c r="C196" s="93" t="s">
        <v>1027</v>
      </c>
      <c r="D196" s="88" t="s">
        <v>198</v>
      </c>
      <c r="E196" s="89"/>
      <c r="F196" s="38" t="s">
        <v>399</v>
      </c>
      <c r="G196" s="96">
        <v>2.86</v>
      </c>
      <c r="H196" s="39">
        <f t="shared" si="2"/>
        <v>0</v>
      </c>
    </row>
    <row r="197" spans="1:8" s="2" customFormat="1" ht="36.75" customHeight="1" x14ac:dyDescent="0.2">
      <c r="A197" s="26" t="s">
        <v>1018</v>
      </c>
      <c r="B197" s="26" t="s">
        <v>19</v>
      </c>
      <c r="C197" s="94" t="s">
        <v>1024</v>
      </c>
      <c r="D197" s="82" t="s">
        <v>1019</v>
      </c>
      <c r="E197" s="85"/>
      <c r="F197" s="26" t="s">
        <v>994</v>
      </c>
      <c r="G197" s="96">
        <v>2.59</v>
      </c>
      <c r="H197" s="81">
        <f t="shared" si="2"/>
        <v>0</v>
      </c>
    </row>
    <row r="198" spans="1:8" s="2" customFormat="1" ht="36.75" customHeight="1" x14ac:dyDescent="0.2">
      <c r="A198" s="26" t="s">
        <v>199</v>
      </c>
      <c r="B198" s="26" t="s">
        <v>36</v>
      </c>
      <c r="C198" s="94" t="s">
        <v>1024</v>
      </c>
      <c r="D198" s="82" t="s">
        <v>200</v>
      </c>
      <c r="E198" s="85"/>
      <c r="F198" s="26" t="s">
        <v>403</v>
      </c>
      <c r="G198" s="96">
        <v>1.84</v>
      </c>
      <c r="H198" s="81">
        <f t="shared" si="2"/>
        <v>0</v>
      </c>
    </row>
    <row r="199" spans="1:8" s="2" customFormat="1" ht="36.75" customHeight="1" x14ac:dyDescent="0.2">
      <c r="A199" s="26" t="s">
        <v>201</v>
      </c>
      <c r="B199" s="26" t="s">
        <v>45</v>
      </c>
      <c r="C199" s="94" t="s">
        <v>1024</v>
      </c>
      <c r="D199" s="82" t="s">
        <v>202</v>
      </c>
      <c r="E199" s="86"/>
      <c r="F199" s="26" t="s">
        <v>408</v>
      </c>
      <c r="G199" s="96">
        <v>1.1399999999999999</v>
      </c>
      <c r="H199" s="81">
        <f t="shared" si="2"/>
        <v>0</v>
      </c>
    </row>
    <row r="200" spans="1:8" s="2" customFormat="1" ht="36.75" customHeight="1" x14ac:dyDescent="0.2">
      <c r="A200" s="26" t="s">
        <v>203</v>
      </c>
      <c r="B200" s="26" t="s">
        <v>43</v>
      </c>
      <c r="C200" s="94" t="s">
        <v>909</v>
      </c>
      <c r="D200" s="82" t="s">
        <v>204</v>
      </c>
      <c r="E200" s="85"/>
      <c r="F200" s="26" t="s">
        <v>424</v>
      </c>
      <c r="G200" s="96">
        <v>1.86</v>
      </c>
      <c r="H200" s="81">
        <f t="shared" si="2"/>
        <v>0</v>
      </c>
    </row>
    <row r="201" spans="1:8" s="2" customFormat="1" ht="36.75" customHeight="1" x14ac:dyDescent="0.2">
      <c r="A201" s="26" t="s">
        <v>606</v>
      </c>
      <c r="B201" s="26" t="s">
        <v>30</v>
      </c>
      <c r="C201" s="94" t="s">
        <v>1029</v>
      </c>
      <c r="D201" s="82" t="s">
        <v>607</v>
      </c>
      <c r="E201" s="85"/>
      <c r="F201" s="26" t="s">
        <v>438</v>
      </c>
      <c r="G201" s="96">
        <v>2.2999999999999998</v>
      </c>
      <c r="H201" s="81">
        <f t="shared" si="2"/>
        <v>0</v>
      </c>
    </row>
    <row r="202" spans="1:8" s="2" customFormat="1" ht="36.75" customHeight="1" x14ac:dyDescent="0.2">
      <c r="A202" s="26" t="s">
        <v>814</v>
      </c>
      <c r="B202" s="26" t="s">
        <v>19</v>
      </c>
      <c r="C202" s="94" t="s">
        <v>1029</v>
      </c>
      <c r="D202" s="82" t="s">
        <v>815</v>
      </c>
      <c r="E202" s="85"/>
      <c r="F202" s="26" t="s">
        <v>429</v>
      </c>
      <c r="G202" s="96">
        <v>1.97</v>
      </c>
      <c r="H202" s="81">
        <f t="shared" si="2"/>
        <v>0</v>
      </c>
    </row>
    <row r="203" spans="1:8" s="2" customFormat="1" ht="36.75" customHeight="1" x14ac:dyDescent="0.2">
      <c r="A203" s="26" t="s">
        <v>705</v>
      </c>
      <c r="B203" s="26" t="s">
        <v>693</v>
      </c>
      <c r="C203" s="94" t="s">
        <v>1029</v>
      </c>
      <c r="D203" s="82" t="s">
        <v>706</v>
      </c>
      <c r="E203" s="85"/>
      <c r="F203" s="26" t="s">
        <v>410</v>
      </c>
      <c r="G203" s="96">
        <v>2.63</v>
      </c>
      <c r="H203" s="81">
        <f t="shared" si="2"/>
        <v>0</v>
      </c>
    </row>
    <row r="204" spans="1:8" s="2" customFormat="1" ht="36.75" customHeight="1" x14ac:dyDescent="0.2">
      <c r="A204" s="26" t="s">
        <v>205</v>
      </c>
      <c r="B204" s="26" t="s">
        <v>30</v>
      </c>
      <c r="C204" s="94" t="s">
        <v>1029</v>
      </c>
      <c r="D204" s="82" t="s">
        <v>206</v>
      </c>
      <c r="E204" s="85"/>
      <c r="F204" s="26" t="s">
        <v>430</v>
      </c>
      <c r="G204" s="96">
        <v>2</v>
      </c>
      <c r="H204" s="81">
        <f t="shared" si="2"/>
        <v>0</v>
      </c>
    </row>
    <row r="205" spans="1:8" s="2" customFormat="1" ht="36.75" customHeight="1" x14ac:dyDescent="0.2">
      <c r="A205" s="26" t="s">
        <v>207</v>
      </c>
      <c r="B205" s="26" t="s">
        <v>40</v>
      </c>
      <c r="C205" s="94" t="s">
        <v>995</v>
      </c>
      <c r="D205" s="82" t="s">
        <v>208</v>
      </c>
      <c r="E205" s="85"/>
      <c r="F205" s="26" t="s">
        <v>409</v>
      </c>
      <c r="G205" s="96">
        <v>7</v>
      </c>
      <c r="H205" s="81">
        <f t="shared" si="2"/>
        <v>0</v>
      </c>
    </row>
    <row r="206" spans="1:8" s="2" customFormat="1" ht="36.75" customHeight="1" x14ac:dyDescent="0.2">
      <c r="A206" s="26" t="s">
        <v>209</v>
      </c>
      <c r="B206" s="26" t="s">
        <v>40</v>
      </c>
      <c r="C206" s="94" t="s">
        <v>995</v>
      </c>
      <c r="D206" s="82" t="s">
        <v>210</v>
      </c>
      <c r="E206" s="85"/>
      <c r="F206" s="26" t="s">
        <v>406</v>
      </c>
      <c r="G206" s="96">
        <v>7</v>
      </c>
      <c r="H206" s="81">
        <f t="shared" si="2"/>
        <v>0</v>
      </c>
    </row>
    <row r="207" spans="1:8" s="2" customFormat="1" ht="36.75" customHeight="1" x14ac:dyDescent="0.2">
      <c r="A207" s="26" t="s">
        <v>512</v>
      </c>
      <c r="B207" s="26" t="s">
        <v>511</v>
      </c>
      <c r="C207" s="94" t="s">
        <v>993</v>
      </c>
      <c r="D207" s="82" t="s">
        <v>513</v>
      </c>
      <c r="E207" s="85"/>
      <c r="F207" s="26" t="s">
        <v>515</v>
      </c>
      <c r="G207" s="96">
        <v>0.28999999999999998</v>
      </c>
      <c r="H207" s="81">
        <f t="shared" ref="H207:H266" si="3">E207*G207</f>
        <v>0</v>
      </c>
    </row>
    <row r="208" spans="1:8" s="2" customFormat="1" ht="36.75" customHeight="1" x14ac:dyDescent="0.2">
      <c r="A208" s="26" t="s">
        <v>211</v>
      </c>
      <c r="B208" s="26" t="s">
        <v>57</v>
      </c>
      <c r="C208" s="94" t="s">
        <v>993</v>
      </c>
      <c r="D208" s="82" t="s">
        <v>212</v>
      </c>
      <c r="E208" s="85"/>
      <c r="F208" s="26" t="s">
        <v>414</v>
      </c>
      <c r="G208" s="96">
        <v>0.39</v>
      </c>
      <c r="H208" s="81">
        <f t="shared" si="3"/>
        <v>0</v>
      </c>
    </row>
    <row r="209" spans="1:8" s="2" customFormat="1" ht="36.75" customHeight="1" x14ac:dyDescent="0.2">
      <c r="A209" s="26" t="s">
        <v>972</v>
      </c>
      <c r="B209" s="26" t="s">
        <v>57</v>
      </c>
      <c r="C209" s="94" t="s">
        <v>993</v>
      </c>
      <c r="D209" s="82" t="s">
        <v>984</v>
      </c>
      <c r="E209" s="85"/>
      <c r="F209" s="26" t="s">
        <v>475</v>
      </c>
      <c r="G209" s="96">
        <v>2.11</v>
      </c>
      <c r="H209" s="81">
        <f t="shared" si="3"/>
        <v>0</v>
      </c>
    </row>
    <row r="210" spans="1:8" s="2" customFormat="1" ht="36.75" customHeight="1" x14ac:dyDescent="0.2">
      <c r="A210" s="26" t="s">
        <v>213</v>
      </c>
      <c r="B210" s="26" t="s">
        <v>40</v>
      </c>
      <c r="C210" s="94" t="s">
        <v>1029</v>
      </c>
      <c r="D210" s="82" t="s">
        <v>670</v>
      </c>
      <c r="E210" s="85"/>
      <c r="F210" s="26" t="s">
        <v>406</v>
      </c>
      <c r="G210" s="96">
        <v>3</v>
      </c>
      <c r="H210" s="81">
        <f t="shared" si="3"/>
        <v>0</v>
      </c>
    </row>
    <row r="211" spans="1:8" s="2" customFormat="1" ht="36.75" customHeight="1" x14ac:dyDescent="0.2">
      <c r="A211" s="26" t="s">
        <v>214</v>
      </c>
      <c r="B211" s="26" t="s">
        <v>19</v>
      </c>
      <c r="C211" s="94" t="s">
        <v>1029</v>
      </c>
      <c r="D211" s="82" t="s">
        <v>215</v>
      </c>
      <c r="E211" s="85"/>
      <c r="F211" s="26" t="s">
        <v>406</v>
      </c>
      <c r="G211" s="96">
        <v>6.17</v>
      </c>
      <c r="H211" s="81">
        <f t="shared" si="3"/>
        <v>0</v>
      </c>
    </row>
    <row r="212" spans="1:8" s="2" customFormat="1" ht="36.75" customHeight="1" x14ac:dyDescent="0.2">
      <c r="A212" s="26" t="s">
        <v>608</v>
      </c>
      <c r="B212" s="26" t="s">
        <v>43</v>
      </c>
      <c r="C212" s="94" t="s">
        <v>1024</v>
      </c>
      <c r="D212" s="82" t="s">
        <v>609</v>
      </c>
      <c r="E212" s="85"/>
      <c r="F212" s="26" t="s">
        <v>415</v>
      </c>
      <c r="G212" s="96">
        <v>2.56</v>
      </c>
      <c r="H212" s="81">
        <f t="shared" si="3"/>
        <v>0</v>
      </c>
    </row>
    <row r="213" spans="1:8" s="2" customFormat="1" ht="36.75" customHeight="1" x14ac:dyDescent="0.2">
      <c r="A213" s="26" t="s">
        <v>216</v>
      </c>
      <c r="B213" s="26" t="s">
        <v>144</v>
      </c>
      <c r="C213" s="94" t="s">
        <v>1024</v>
      </c>
      <c r="D213" s="82" t="s">
        <v>217</v>
      </c>
      <c r="E213" s="85"/>
      <c r="F213" s="26" t="s">
        <v>412</v>
      </c>
      <c r="G213" s="96">
        <v>2.76</v>
      </c>
      <c r="H213" s="81">
        <f t="shared" si="3"/>
        <v>0</v>
      </c>
    </row>
    <row r="214" spans="1:8" s="2" customFormat="1" ht="36.75" customHeight="1" x14ac:dyDescent="0.2">
      <c r="A214" s="26" t="s">
        <v>551</v>
      </c>
      <c r="B214" s="26" t="s">
        <v>30</v>
      </c>
      <c r="C214" s="94" t="s">
        <v>1029</v>
      </c>
      <c r="D214" s="82" t="s">
        <v>552</v>
      </c>
      <c r="E214" s="85"/>
      <c r="F214" s="26" t="s">
        <v>410</v>
      </c>
      <c r="G214" s="96">
        <v>2.76</v>
      </c>
      <c r="H214" s="81">
        <f t="shared" si="3"/>
        <v>0</v>
      </c>
    </row>
    <row r="215" spans="1:8" s="2" customFormat="1" ht="36.75" customHeight="1" x14ac:dyDescent="0.2">
      <c r="A215" s="26" t="s">
        <v>218</v>
      </c>
      <c r="B215" s="26" t="s">
        <v>43</v>
      </c>
      <c r="C215" s="94" t="s">
        <v>1024</v>
      </c>
      <c r="D215" s="82" t="s">
        <v>219</v>
      </c>
      <c r="E215" s="85"/>
      <c r="F215" s="26" t="s">
        <v>404</v>
      </c>
      <c r="G215" s="96">
        <v>11.13</v>
      </c>
      <c r="H215" s="81">
        <f t="shared" si="3"/>
        <v>0</v>
      </c>
    </row>
    <row r="216" spans="1:8" s="2" customFormat="1" ht="36.75" customHeight="1" x14ac:dyDescent="0.2">
      <c r="A216" s="26" t="s">
        <v>707</v>
      </c>
      <c r="B216" s="26" t="s">
        <v>693</v>
      </c>
      <c r="C216" s="94" t="s">
        <v>1029</v>
      </c>
      <c r="D216" s="82" t="s">
        <v>708</v>
      </c>
      <c r="E216" s="85"/>
      <c r="F216" s="26" t="s">
        <v>725</v>
      </c>
      <c r="G216" s="96">
        <v>1.54</v>
      </c>
      <c r="H216" s="81">
        <f t="shared" si="3"/>
        <v>0</v>
      </c>
    </row>
    <row r="217" spans="1:8" s="2" customFormat="1" ht="36.75" customHeight="1" x14ac:dyDescent="0.2">
      <c r="A217" s="26" t="s">
        <v>221</v>
      </c>
      <c r="B217" s="26" t="s">
        <v>45</v>
      </c>
      <c r="C217" s="94" t="s">
        <v>1024</v>
      </c>
      <c r="D217" s="82" t="s">
        <v>222</v>
      </c>
      <c r="E217" s="85"/>
      <c r="F217" s="26" t="s">
        <v>409</v>
      </c>
      <c r="G217" s="96">
        <v>0.86</v>
      </c>
      <c r="H217" s="81">
        <f t="shared" si="3"/>
        <v>0</v>
      </c>
    </row>
    <row r="218" spans="1:8" s="2" customFormat="1" ht="36.75" customHeight="1" x14ac:dyDescent="0.2">
      <c r="A218" s="26" t="s">
        <v>223</v>
      </c>
      <c r="B218" s="26" t="s">
        <v>108</v>
      </c>
      <c r="C218" s="94" t="s">
        <v>1024</v>
      </c>
      <c r="D218" s="82" t="s">
        <v>224</v>
      </c>
      <c r="E218" s="85"/>
      <c r="F218" s="26" t="s">
        <v>411</v>
      </c>
      <c r="G218" s="96">
        <v>1.45</v>
      </c>
      <c r="H218" s="81">
        <f t="shared" si="3"/>
        <v>0</v>
      </c>
    </row>
    <row r="219" spans="1:8" s="2" customFormat="1" ht="36.75" customHeight="1" x14ac:dyDescent="0.2">
      <c r="A219" s="26" t="s">
        <v>225</v>
      </c>
      <c r="B219" s="26" t="s">
        <v>43</v>
      </c>
      <c r="C219" s="94" t="s">
        <v>1024</v>
      </c>
      <c r="D219" s="82" t="s">
        <v>226</v>
      </c>
      <c r="E219" s="85"/>
      <c r="F219" s="26" t="s">
        <v>405</v>
      </c>
      <c r="G219" s="96">
        <v>1.99</v>
      </c>
      <c r="H219" s="81">
        <f t="shared" si="3"/>
        <v>0</v>
      </c>
    </row>
    <row r="220" spans="1:8" s="2" customFormat="1" ht="36.75" customHeight="1" x14ac:dyDescent="0.2">
      <c r="A220" s="26" t="s">
        <v>553</v>
      </c>
      <c r="B220" s="26" t="s">
        <v>30</v>
      </c>
      <c r="C220" s="94" t="s">
        <v>1029</v>
      </c>
      <c r="D220" s="82" t="s">
        <v>554</v>
      </c>
      <c r="E220" s="85"/>
      <c r="F220" s="26" t="s">
        <v>433</v>
      </c>
      <c r="G220" s="96">
        <v>2.57</v>
      </c>
      <c r="H220" s="81">
        <f t="shared" si="3"/>
        <v>0</v>
      </c>
    </row>
    <row r="221" spans="1:8" s="2" customFormat="1" ht="36.75" customHeight="1" x14ac:dyDescent="0.2">
      <c r="A221" s="38" t="s">
        <v>890</v>
      </c>
      <c r="B221" s="38" t="s">
        <v>58</v>
      </c>
      <c r="C221" s="93" t="s">
        <v>1026</v>
      </c>
      <c r="D221" s="88" t="s">
        <v>891</v>
      </c>
      <c r="E221" s="89"/>
      <c r="F221" s="38" t="s">
        <v>433</v>
      </c>
      <c r="G221" s="96">
        <v>2.31</v>
      </c>
      <c r="H221" s="39">
        <f t="shared" si="3"/>
        <v>0</v>
      </c>
    </row>
    <row r="222" spans="1:8" s="2" customFormat="1" ht="36.75" customHeight="1" x14ac:dyDescent="0.2">
      <c r="A222" s="26" t="s">
        <v>227</v>
      </c>
      <c r="B222" s="26" t="s">
        <v>30</v>
      </c>
      <c r="C222" s="94" t="s">
        <v>1029</v>
      </c>
      <c r="D222" s="82" t="s">
        <v>228</v>
      </c>
      <c r="E222" s="85"/>
      <c r="F222" s="26" t="s">
        <v>403</v>
      </c>
      <c r="G222" s="96">
        <v>0.56999999999999995</v>
      </c>
      <c r="H222" s="81">
        <f t="shared" si="3"/>
        <v>0</v>
      </c>
    </row>
    <row r="223" spans="1:8" s="2" customFormat="1" ht="36.75" customHeight="1" x14ac:dyDescent="0.2">
      <c r="A223" s="26" t="s">
        <v>229</v>
      </c>
      <c r="B223" s="26" t="s">
        <v>101</v>
      </c>
      <c r="C223" s="94" t="s">
        <v>1029</v>
      </c>
      <c r="D223" s="82" t="s">
        <v>230</v>
      </c>
      <c r="E223" s="85"/>
      <c r="F223" s="26" t="s">
        <v>397</v>
      </c>
      <c r="G223" s="96">
        <v>2</v>
      </c>
      <c r="H223" s="81">
        <f t="shared" si="3"/>
        <v>0</v>
      </c>
    </row>
    <row r="224" spans="1:8" s="2" customFormat="1" ht="36.75" customHeight="1" x14ac:dyDescent="0.2">
      <c r="A224" s="26" t="s">
        <v>231</v>
      </c>
      <c r="B224" s="26" t="s">
        <v>41</v>
      </c>
      <c r="C224" s="94" t="s">
        <v>1029</v>
      </c>
      <c r="D224" s="82" t="s">
        <v>232</v>
      </c>
      <c r="E224" s="85"/>
      <c r="F224" s="26" t="s">
        <v>400</v>
      </c>
      <c r="G224" s="96">
        <v>4</v>
      </c>
      <c r="H224" s="81">
        <f t="shared" si="3"/>
        <v>0</v>
      </c>
    </row>
    <row r="225" spans="1:8" s="2" customFormat="1" ht="36.75" customHeight="1" x14ac:dyDescent="0.2">
      <c r="A225" s="26" t="s">
        <v>233</v>
      </c>
      <c r="B225" s="26" t="s">
        <v>36</v>
      </c>
      <c r="C225" s="94" t="s">
        <v>1024</v>
      </c>
      <c r="D225" s="82" t="s">
        <v>858</v>
      </c>
      <c r="E225" s="85"/>
      <c r="F225" s="26" t="s">
        <v>434</v>
      </c>
      <c r="G225" s="96">
        <v>0.6</v>
      </c>
      <c r="H225" s="81">
        <f t="shared" si="3"/>
        <v>0</v>
      </c>
    </row>
    <row r="226" spans="1:8" s="2" customFormat="1" ht="36.75" customHeight="1" x14ac:dyDescent="0.2">
      <c r="A226" s="26" t="s">
        <v>524</v>
      </c>
      <c r="B226" s="26" t="s">
        <v>45</v>
      </c>
      <c r="C226" s="94" t="s">
        <v>1024</v>
      </c>
      <c r="D226" s="82" t="s">
        <v>525</v>
      </c>
      <c r="E226" s="85"/>
      <c r="F226" s="26" t="s">
        <v>439</v>
      </c>
      <c r="G226" s="96">
        <v>0.46</v>
      </c>
      <c r="H226" s="81">
        <f t="shared" si="3"/>
        <v>0</v>
      </c>
    </row>
    <row r="227" spans="1:8" s="2" customFormat="1" ht="36.75" customHeight="1" x14ac:dyDescent="0.2">
      <c r="A227" s="26" t="s">
        <v>234</v>
      </c>
      <c r="B227" s="26" t="s">
        <v>52</v>
      </c>
      <c r="C227" s="94" t="s">
        <v>1024</v>
      </c>
      <c r="D227" s="82" t="s">
        <v>235</v>
      </c>
      <c r="E227" s="85"/>
      <c r="F227" s="26" t="s">
        <v>435</v>
      </c>
      <c r="G227" s="96">
        <v>0.9</v>
      </c>
      <c r="H227" s="81">
        <f t="shared" si="3"/>
        <v>0</v>
      </c>
    </row>
    <row r="228" spans="1:8" s="2" customFormat="1" ht="36.75" customHeight="1" x14ac:dyDescent="0.2">
      <c r="A228" s="26" t="s">
        <v>610</v>
      </c>
      <c r="B228" s="26" t="s">
        <v>187</v>
      </c>
      <c r="C228" s="94" t="s">
        <v>1029</v>
      </c>
      <c r="D228" s="82" t="s">
        <v>611</v>
      </c>
      <c r="E228" s="85"/>
      <c r="F228" s="26" t="s">
        <v>408</v>
      </c>
      <c r="G228" s="96">
        <v>2.29</v>
      </c>
      <c r="H228" s="81">
        <f t="shared" si="3"/>
        <v>0</v>
      </c>
    </row>
    <row r="229" spans="1:8" s="2" customFormat="1" ht="36.75" customHeight="1" x14ac:dyDescent="0.2">
      <c r="A229" s="26" t="s">
        <v>236</v>
      </c>
      <c r="B229" s="26" t="s">
        <v>43</v>
      </c>
      <c r="C229" s="94" t="s">
        <v>1024</v>
      </c>
      <c r="D229" s="82" t="s">
        <v>237</v>
      </c>
      <c r="E229" s="85"/>
      <c r="F229" s="26" t="s">
        <v>413</v>
      </c>
      <c r="G229" s="96">
        <v>0.53</v>
      </c>
      <c r="H229" s="81">
        <f t="shared" si="3"/>
        <v>0</v>
      </c>
    </row>
    <row r="230" spans="1:8" s="2" customFormat="1" ht="36.75" customHeight="1" x14ac:dyDescent="0.2">
      <c r="A230" s="38" t="s">
        <v>555</v>
      </c>
      <c r="B230" s="38" t="s">
        <v>58</v>
      </c>
      <c r="C230" s="93" t="s">
        <v>1025</v>
      </c>
      <c r="D230" s="88" t="s">
        <v>556</v>
      </c>
      <c r="E230" s="89"/>
      <c r="F230" s="38" t="s">
        <v>429</v>
      </c>
      <c r="G230" s="96">
        <v>2.4500000000000002</v>
      </c>
      <c r="H230" s="39">
        <f t="shared" si="3"/>
        <v>0</v>
      </c>
    </row>
    <row r="231" spans="1:8" s="2" customFormat="1" ht="36.75" customHeight="1" x14ac:dyDescent="0.2">
      <c r="A231" s="26" t="s">
        <v>238</v>
      </c>
      <c r="B231" s="26" t="s">
        <v>43</v>
      </c>
      <c r="C231" s="94" t="s">
        <v>1024</v>
      </c>
      <c r="D231" s="82" t="s">
        <v>239</v>
      </c>
      <c r="E231" s="85"/>
      <c r="F231" s="26" t="s">
        <v>436</v>
      </c>
      <c r="G231" s="96">
        <v>1.4</v>
      </c>
      <c r="H231" s="81">
        <f t="shared" si="3"/>
        <v>0</v>
      </c>
    </row>
    <row r="232" spans="1:8" s="2" customFormat="1" ht="36.75" customHeight="1" x14ac:dyDescent="0.2">
      <c r="A232" s="26" t="s">
        <v>240</v>
      </c>
      <c r="B232" s="26" t="s">
        <v>52</v>
      </c>
      <c r="C232" s="94" t="s">
        <v>1024</v>
      </c>
      <c r="D232" s="82" t="s">
        <v>241</v>
      </c>
      <c r="E232" s="85"/>
      <c r="F232" s="26" t="s">
        <v>437</v>
      </c>
      <c r="G232" s="96">
        <v>1.7</v>
      </c>
      <c r="H232" s="81">
        <f t="shared" si="3"/>
        <v>0</v>
      </c>
    </row>
    <row r="233" spans="1:8" s="2" customFormat="1" ht="36.75" customHeight="1" x14ac:dyDescent="0.2">
      <c r="A233" s="26" t="s">
        <v>773</v>
      </c>
      <c r="B233" s="26" t="s">
        <v>36</v>
      </c>
      <c r="C233" s="94" t="s">
        <v>1024</v>
      </c>
      <c r="D233" s="82" t="s">
        <v>774</v>
      </c>
      <c r="E233" s="85"/>
      <c r="F233" s="26" t="s">
        <v>789</v>
      </c>
      <c r="G233" s="96">
        <v>0.51</v>
      </c>
      <c r="H233" s="81">
        <f t="shared" si="3"/>
        <v>0</v>
      </c>
    </row>
    <row r="234" spans="1:8" s="2" customFormat="1" ht="36.75" customHeight="1" x14ac:dyDescent="0.2">
      <c r="A234" s="26" t="s">
        <v>892</v>
      </c>
      <c r="B234" s="26" t="s">
        <v>893</v>
      </c>
      <c r="C234" s="94" t="s">
        <v>993</v>
      </c>
      <c r="D234" s="82" t="s">
        <v>894</v>
      </c>
      <c r="E234" s="85"/>
      <c r="F234" s="26" t="s">
        <v>447</v>
      </c>
      <c r="G234" s="96">
        <v>42.31</v>
      </c>
      <c r="H234" s="81">
        <f t="shared" si="3"/>
        <v>0</v>
      </c>
    </row>
    <row r="235" spans="1:8" s="2" customFormat="1" ht="36.75" customHeight="1" x14ac:dyDescent="0.2">
      <c r="A235" s="26" t="s">
        <v>933</v>
      </c>
      <c r="B235" s="26" t="s">
        <v>30</v>
      </c>
      <c r="C235" s="94" t="s">
        <v>1029</v>
      </c>
      <c r="D235" s="82" t="s">
        <v>934</v>
      </c>
      <c r="E235" s="85"/>
      <c r="F235" s="26" t="s">
        <v>566</v>
      </c>
      <c r="G235" s="96">
        <v>2</v>
      </c>
      <c r="H235" s="81">
        <f t="shared" si="3"/>
        <v>0</v>
      </c>
    </row>
    <row r="236" spans="1:8" s="2" customFormat="1" ht="36.75" customHeight="1" x14ac:dyDescent="0.2">
      <c r="A236" s="26" t="s">
        <v>242</v>
      </c>
      <c r="B236" s="26" t="s">
        <v>108</v>
      </c>
      <c r="C236" s="94" t="s">
        <v>1024</v>
      </c>
      <c r="D236" s="82" t="s">
        <v>243</v>
      </c>
      <c r="E236" s="85"/>
      <c r="F236" s="26" t="s">
        <v>403</v>
      </c>
      <c r="G236" s="96">
        <v>2.2400000000000002</v>
      </c>
      <c r="H236" s="81">
        <f t="shared" si="3"/>
        <v>0</v>
      </c>
    </row>
    <row r="237" spans="1:8" s="2" customFormat="1" ht="36.75" customHeight="1" x14ac:dyDescent="0.2">
      <c r="A237" s="26" t="s">
        <v>816</v>
      </c>
      <c r="B237" s="26" t="s">
        <v>19</v>
      </c>
      <c r="C237" s="94" t="s">
        <v>993</v>
      </c>
      <c r="D237" s="82" t="s">
        <v>817</v>
      </c>
      <c r="E237" s="85"/>
      <c r="F237" s="26" t="s">
        <v>838</v>
      </c>
      <c r="G237" s="96">
        <v>4.1399999999999997</v>
      </c>
      <c r="H237" s="81">
        <f t="shared" si="3"/>
        <v>0</v>
      </c>
    </row>
    <row r="238" spans="1:8" s="2" customFormat="1" ht="36.75" customHeight="1" x14ac:dyDescent="0.2">
      <c r="A238" s="26" t="s">
        <v>775</v>
      </c>
      <c r="B238" s="26" t="s">
        <v>57</v>
      </c>
      <c r="C238" s="94" t="s">
        <v>993</v>
      </c>
      <c r="D238" s="82" t="s">
        <v>776</v>
      </c>
      <c r="E238" s="85"/>
      <c r="F238" s="26" t="s">
        <v>414</v>
      </c>
      <c r="G238" s="96">
        <v>8.57</v>
      </c>
      <c r="H238" s="81">
        <f t="shared" si="3"/>
        <v>0</v>
      </c>
    </row>
    <row r="239" spans="1:8" s="2" customFormat="1" ht="36.75" customHeight="1" x14ac:dyDescent="0.2">
      <c r="A239" s="26" t="s">
        <v>244</v>
      </c>
      <c r="B239" s="26" t="s">
        <v>245</v>
      </c>
      <c r="C239" s="94" t="s">
        <v>993</v>
      </c>
      <c r="D239" s="82" t="s">
        <v>246</v>
      </c>
      <c r="E239" s="85"/>
      <c r="F239" s="26" t="s">
        <v>429</v>
      </c>
      <c r="G239" s="96">
        <v>0.89</v>
      </c>
      <c r="H239" s="81">
        <f t="shared" si="3"/>
        <v>0</v>
      </c>
    </row>
    <row r="240" spans="1:8" s="2" customFormat="1" ht="36.75" customHeight="1" x14ac:dyDescent="0.2">
      <c r="A240" s="26" t="s">
        <v>612</v>
      </c>
      <c r="B240" s="26" t="s">
        <v>57</v>
      </c>
      <c r="C240" s="94" t="s">
        <v>993</v>
      </c>
      <c r="D240" s="82" t="s">
        <v>613</v>
      </c>
      <c r="E240" s="85"/>
      <c r="F240" s="26" t="s">
        <v>414</v>
      </c>
      <c r="G240" s="96">
        <v>0.59</v>
      </c>
      <c r="H240" s="81">
        <f t="shared" si="3"/>
        <v>0</v>
      </c>
    </row>
    <row r="241" spans="1:8" s="2" customFormat="1" ht="36.75" customHeight="1" x14ac:dyDescent="0.2">
      <c r="A241" s="26" t="s">
        <v>247</v>
      </c>
      <c r="B241" s="26" t="s">
        <v>19</v>
      </c>
      <c r="C241" s="94" t="s">
        <v>1029</v>
      </c>
      <c r="D241" s="82" t="s">
        <v>248</v>
      </c>
      <c r="E241" s="85"/>
      <c r="F241" s="26" t="s">
        <v>400</v>
      </c>
      <c r="G241" s="96">
        <v>0.37</v>
      </c>
      <c r="H241" s="81">
        <f t="shared" si="3"/>
        <v>0</v>
      </c>
    </row>
    <row r="242" spans="1:8" s="2" customFormat="1" ht="36.75" customHeight="1" x14ac:dyDescent="0.2">
      <c r="A242" s="26" t="s">
        <v>1003</v>
      </c>
      <c r="B242" s="26" t="s">
        <v>52</v>
      </c>
      <c r="C242" s="94" t="s">
        <v>1024</v>
      </c>
      <c r="D242" s="82" t="s">
        <v>1004</v>
      </c>
      <c r="E242" s="85"/>
      <c r="F242" s="26" t="s">
        <v>1005</v>
      </c>
      <c r="G242" s="96">
        <v>3.49</v>
      </c>
      <c r="H242" s="81">
        <f t="shared" si="3"/>
        <v>0</v>
      </c>
    </row>
    <row r="243" spans="1:8" s="2" customFormat="1" ht="36.75" customHeight="1" x14ac:dyDescent="0.2">
      <c r="A243" s="26" t="s">
        <v>614</v>
      </c>
      <c r="B243" s="26" t="s">
        <v>52</v>
      </c>
      <c r="C243" s="94" t="s">
        <v>1024</v>
      </c>
      <c r="D243" s="82" t="s">
        <v>615</v>
      </c>
      <c r="E243" s="85"/>
      <c r="F243" s="26" t="s">
        <v>654</v>
      </c>
      <c r="G243" s="96">
        <v>7.39</v>
      </c>
      <c r="H243" s="81">
        <f t="shared" si="3"/>
        <v>0</v>
      </c>
    </row>
    <row r="244" spans="1:8" s="2" customFormat="1" ht="36.75" customHeight="1" x14ac:dyDescent="0.2">
      <c r="A244" s="26" t="s">
        <v>671</v>
      </c>
      <c r="B244" s="26" t="s">
        <v>47</v>
      </c>
      <c r="C244" s="94" t="s">
        <v>1024</v>
      </c>
      <c r="D244" s="82" t="s">
        <v>672</v>
      </c>
      <c r="E244" s="85"/>
      <c r="F244" s="26" t="s">
        <v>433</v>
      </c>
      <c r="G244" s="96">
        <v>5.47</v>
      </c>
      <c r="H244" s="81">
        <f t="shared" si="3"/>
        <v>0</v>
      </c>
    </row>
    <row r="245" spans="1:8" s="2" customFormat="1" ht="36.75" customHeight="1" x14ac:dyDescent="0.2">
      <c r="A245" s="26" t="s">
        <v>935</v>
      </c>
      <c r="B245" s="26" t="s">
        <v>30</v>
      </c>
      <c r="C245" s="94" t="s">
        <v>1027</v>
      </c>
      <c r="D245" s="82" t="s">
        <v>936</v>
      </c>
      <c r="E245" s="85"/>
      <c r="F245" s="26" t="s">
        <v>410</v>
      </c>
      <c r="G245" s="96">
        <v>2.86</v>
      </c>
      <c r="H245" s="81">
        <f t="shared" si="3"/>
        <v>0</v>
      </c>
    </row>
    <row r="246" spans="1:8" s="2" customFormat="1" ht="36.75" customHeight="1" x14ac:dyDescent="0.2">
      <c r="A246" s="26" t="s">
        <v>249</v>
      </c>
      <c r="B246" s="26" t="s">
        <v>43</v>
      </c>
      <c r="C246" s="94" t="s">
        <v>1024</v>
      </c>
      <c r="D246" s="82" t="s">
        <v>250</v>
      </c>
      <c r="E246" s="85"/>
      <c r="F246" s="26" t="s">
        <v>405</v>
      </c>
      <c r="G246" s="96">
        <v>2.9</v>
      </c>
      <c r="H246" s="81">
        <f t="shared" si="3"/>
        <v>0</v>
      </c>
    </row>
    <row r="247" spans="1:8" s="2" customFormat="1" ht="36.75" customHeight="1" x14ac:dyDescent="0.2">
      <c r="A247" s="26" t="s">
        <v>251</v>
      </c>
      <c r="B247" s="26" t="s">
        <v>57</v>
      </c>
      <c r="C247" s="94" t="s">
        <v>993</v>
      </c>
      <c r="D247" s="82" t="s">
        <v>252</v>
      </c>
      <c r="E247" s="85"/>
      <c r="F247" s="26" t="s">
        <v>422</v>
      </c>
      <c r="G247" s="96">
        <v>0.11</v>
      </c>
      <c r="H247" s="81">
        <f t="shared" si="3"/>
        <v>0</v>
      </c>
    </row>
    <row r="248" spans="1:8" s="2" customFormat="1" ht="36.75" customHeight="1" x14ac:dyDescent="0.2">
      <c r="A248" s="26" t="s">
        <v>253</v>
      </c>
      <c r="B248" s="26" t="s">
        <v>57</v>
      </c>
      <c r="C248" s="94" t="s">
        <v>993</v>
      </c>
      <c r="D248" s="82" t="s">
        <v>254</v>
      </c>
      <c r="E248" s="85"/>
      <c r="F248" s="26" t="s">
        <v>422</v>
      </c>
      <c r="G248" s="96">
        <v>0.09</v>
      </c>
      <c r="H248" s="81">
        <f t="shared" si="3"/>
        <v>0</v>
      </c>
    </row>
    <row r="249" spans="1:8" s="2" customFormat="1" ht="36.75" customHeight="1" x14ac:dyDescent="0.2">
      <c r="A249" s="26" t="s">
        <v>616</v>
      </c>
      <c r="B249" s="26" t="s">
        <v>30</v>
      </c>
      <c r="C249" s="94" t="s">
        <v>1027</v>
      </c>
      <c r="D249" s="82" t="s">
        <v>617</v>
      </c>
      <c r="E249" s="85"/>
      <c r="F249" s="26" t="s">
        <v>430</v>
      </c>
      <c r="G249" s="96">
        <v>2.0699999999999998</v>
      </c>
      <c r="H249" s="81">
        <f t="shared" si="3"/>
        <v>0</v>
      </c>
    </row>
    <row r="250" spans="1:8" s="2" customFormat="1" ht="36.75" customHeight="1" x14ac:dyDescent="0.2">
      <c r="A250" s="26" t="s">
        <v>709</v>
      </c>
      <c r="B250" s="26" t="s">
        <v>693</v>
      </c>
      <c r="C250" s="94" t="s">
        <v>1027</v>
      </c>
      <c r="D250" s="82" t="s">
        <v>710</v>
      </c>
      <c r="E250" s="85"/>
      <c r="F250" s="26" t="s">
        <v>726</v>
      </c>
      <c r="G250" s="96">
        <v>3.14</v>
      </c>
      <c r="H250" s="81">
        <f t="shared" si="3"/>
        <v>0</v>
      </c>
    </row>
    <row r="251" spans="1:8" s="2" customFormat="1" ht="36.75" customHeight="1" x14ac:dyDescent="0.2">
      <c r="A251" s="26" t="s">
        <v>255</v>
      </c>
      <c r="B251" s="26" t="s">
        <v>40</v>
      </c>
      <c r="C251" s="94" t="s">
        <v>1027</v>
      </c>
      <c r="D251" s="82" t="s">
        <v>256</v>
      </c>
      <c r="E251" s="85"/>
      <c r="F251" s="26" t="s">
        <v>408</v>
      </c>
      <c r="G251" s="96">
        <v>3.2</v>
      </c>
      <c r="H251" s="81">
        <f t="shared" si="3"/>
        <v>0</v>
      </c>
    </row>
    <row r="252" spans="1:8" s="2" customFormat="1" ht="36.75" customHeight="1" x14ac:dyDescent="0.2">
      <c r="A252" s="26" t="s">
        <v>711</v>
      </c>
      <c r="B252" s="26" t="s">
        <v>693</v>
      </c>
      <c r="C252" s="94" t="s">
        <v>1029</v>
      </c>
      <c r="D252" s="82" t="s">
        <v>712</v>
      </c>
      <c r="E252" s="85"/>
      <c r="F252" s="26" t="s">
        <v>410</v>
      </c>
      <c r="G252" s="96">
        <v>1.6</v>
      </c>
      <c r="H252" s="81">
        <f t="shared" si="3"/>
        <v>0</v>
      </c>
    </row>
    <row r="253" spans="1:8" s="2" customFormat="1" ht="36.75" customHeight="1" x14ac:dyDescent="0.2">
      <c r="A253" s="26" t="s">
        <v>818</v>
      </c>
      <c r="B253" s="26" t="s">
        <v>19</v>
      </c>
      <c r="C253" s="94" t="s">
        <v>1029</v>
      </c>
      <c r="D253" s="82" t="s">
        <v>819</v>
      </c>
      <c r="E253" s="85"/>
      <c r="F253" s="26" t="s">
        <v>405</v>
      </c>
      <c r="G253" s="96">
        <v>2.69</v>
      </c>
      <c r="H253" s="81">
        <f t="shared" si="3"/>
        <v>0</v>
      </c>
    </row>
    <row r="254" spans="1:8" s="2" customFormat="1" ht="36.75" customHeight="1" x14ac:dyDescent="0.2">
      <c r="A254" s="26" t="s">
        <v>618</v>
      </c>
      <c r="B254" s="26" t="s">
        <v>30</v>
      </c>
      <c r="C254" s="94" t="s">
        <v>1029</v>
      </c>
      <c r="D254" s="82" t="s">
        <v>619</v>
      </c>
      <c r="E254" s="85"/>
      <c r="F254" s="26" t="s">
        <v>433</v>
      </c>
      <c r="G254" s="96">
        <v>2</v>
      </c>
      <c r="H254" s="81">
        <f t="shared" si="3"/>
        <v>0</v>
      </c>
    </row>
    <row r="255" spans="1:8" s="2" customFormat="1" ht="36.75" customHeight="1" x14ac:dyDescent="0.2">
      <c r="A255" s="26" t="s">
        <v>257</v>
      </c>
      <c r="B255" s="26" t="s">
        <v>19</v>
      </c>
      <c r="C255" s="94" t="s">
        <v>1024</v>
      </c>
      <c r="D255" s="82" t="s">
        <v>258</v>
      </c>
      <c r="E255" s="85"/>
      <c r="F255" s="26" t="s">
        <v>436</v>
      </c>
      <c r="G255" s="96">
        <v>16.16</v>
      </c>
      <c r="H255" s="81">
        <f t="shared" si="3"/>
        <v>0</v>
      </c>
    </row>
    <row r="256" spans="1:8" s="2" customFormat="1" ht="36.75" customHeight="1" x14ac:dyDescent="0.2">
      <c r="A256" s="26" t="s">
        <v>259</v>
      </c>
      <c r="B256" s="26" t="s">
        <v>40</v>
      </c>
      <c r="C256" s="94" t="s">
        <v>1025</v>
      </c>
      <c r="D256" s="82" t="s">
        <v>260</v>
      </c>
      <c r="E256" s="85"/>
      <c r="F256" s="26" t="s">
        <v>404</v>
      </c>
      <c r="G256" s="96">
        <v>3</v>
      </c>
      <c r="H256" s="81">
        <f t="shared" si="3"/>
        <v>0</v>
      </c>
    </row>
    <row r="257" spans="1:8" s="2" customFormat="1" ht="36.75" customHeight="1" x14ac:dyDescent="0.2">
      <c r="A257" s="26" t="s">
        <v>262</v>
      </c>
      <c r="B257" s="26" t="s">
        <v>19</v>
      </c>
      <c r="C257" s="94" t="s">
        <v>1029</v>
      </c>
      <c r="D257" s="82" t="s">
        <v>263</v>
      </c>
      <c r="E257" s="85"/>
      <c r="F257" s="26" t="s">
        <v>436</v>
      </c>
      <c r="G257" s="96">
        <v>5.4</v>
      </c>
      <c r="H257" s="81">
        <f t="shared" si="3"/>
        <v>0</v>
      </c>
    </row>
    <row r="258" spans="1:8" s="2" customFormat="1" ht="36.75" customHeight="1" x14ac:dyDescent="0.2">
      <c r="A258" s="26" t="s">
        <v>463</v>
      </c>
      <c r="B258" s="26" t="s">
        <v>30</v>
      </c>
      <c r="C258" s="94" t="s">
        <v>1029</v>
      </c>
      <c r="D258" s="82" t="s">
        <v>464</v>
      </c>
      <c r="E258" s="85"/>
      <c r="F258" s="26" t="s">
        <v>476</v>
      </c>
      <c r="G258" s="96">
        <v>2.29</v>
      </c>
      <c r="H258" s="81">
        <f t="shared" si="3"/>
        <v>0</v>
      </c>
    </row>
    <row r="259" spans="1:8" s="2" customFormat="1" ht="36.75" customHeight="1" x14ac:dyDescent="0.2">
      <c r="A259" s="38" t="s">
        <v>264</v>
      </c>
      <c r="B259" s="38" t="s">
        <v>58</v>
      </c>
      <c r="C259" s="93" t="s">
        <v>1027</v>
      </c>
      <c r="D259" s="88" t="s">
        <v>265</v>
      </c>
      <c r="E259" s="89"/>
      <c r="F259" s="38" t="s">
        <v>411</v>
      </c>
      <c r="G259" s="96">
        <v>3.34</v>
      </c>
      <c r="H259" s="39">
        <f t="shared" si="3"/>
        <v>0</v>
      </c>
    </row>
    <row r="260" spans="1:8" s="2" customFormat="1" ht="36.75" customHeight="1" x14ac:dyDescent="0.2">
      <c r="A260" s="38" t="s">
        <v>266</v>
      </c>
      <c r="B260" s="38" t="s">
        <v>58</v>
      </c>
      <c r="C260" s="93" t="s">
        <v>1027</v>
      </c>
      <c r="D260" s="88" t="s">
        <v>267</v>
      </c>
      <c r="E260" s="89"/>
      <c r="F260" s="38" t="s">
        <v>411</v>
      </c>
      <c r="G260" s="96">
        <v>2.57</v>
      </c>
      <c r="H260" s="39">
        <f t="shared" si="3"/>
        <v>0</v>
      </c>
    </row>
    <row r="261" spans="1:8" s="2" customFormat="1" ht="36.75" customHeight="1" x14ac:dyDescent="0.2">
      <c r="A261" s="38" t="s">
        <v>268</v>
      </c>
      <c r="B261" s="38" t="s">
        <v>58</v>
      </c>
      <c r="C261" s="93" t="s">
        <v>1027</v>
      </c>
      <c r="D261" s="88" t="s">
        <v>269</v>
      </c>
      <c r="E261" s="89"/>
      <c r="F261" s="38" t="s">
        <v>412</v>
      </c>
      <c r="G261" s="96">
        <v>2.83</v>
      </c>
      <c r="H261" s="39">
        <f t="shared" si="3"/>
        <v>0</v>
      </c>
    </row>
    <row r="262" spans="1:8" s="2" customFormat="1" ht="36.75" customHeight="1" x14ac:dyDescent="0.2">
      <c r="A262" s="26" t="s">
        <v>270</v>
      </c>
      <c r="B262" s="26" t="s">
        <v>245</v>
      </c>
      <c r="C262" s="94" t="s">
        <v>993</v>
      </c>
      <c r="D262" s="82" t="s">
        <v>271</v>
      </c>
      <c r="E262" s="85"/>
      <c r="F262" s="26" t="s">
        <v>429</v>
      </c>
      <c r="G262" s="96">
        <v>1.47</v>
      </c>
      <c r="H262" s="81">
        <f t="shared" si="3"/>
        <v>0</v>
      </c>
    </row>
    <row r="263" spans="1:8" s="2" customFormat="1" ht="36.75" customHeight="1" x14ac:dyDescent="0.2">
      <c r="A263" s="26" t="s">
        <v>820</v>
      </c>
      <c r="B263" s="26" t="s">
        <v>19</v>
      </c>
      <c r="C263" s="94" t="s">
        <v>993</v>
      </c>
      <c r="D263" s="82" t="s">
        <v>821</v>
      </c>
      <c r="E263" s="85"/>
      <c r="F263" s="26" t="s">
        <v>838</v>
      </c>
      <c r="G263" s="96">
        <v>0.79</v>
      </c>
      <c r="H263" s="81">
        <f t="shared" si="3"/>
        <v>0</v>
      </c>
    </row>
    <row r="264" spans="1:8" s="2" customFormat="1" ht="36.75" customHeight="1" x14ac:dyDescent="0.2">
      <c r="A264" s="26" t="s">
        <v>272</v>
      </c>
      <c r="B264" s="26" t="s">
        <v>40</v>
      </c>
      <c r="C264" s="94" t="s">
        <v>996</v>
      </c>
      <c r="D264" s="82" t="s">
        <v>273</v>
      </c>
      <c r="E264" s="85"/>
      <c r="F264" s="26" t="s">
        <v>408</v>
      </c>
      <c r="G264" s="96">
        <v>6.43</v>
      </c>
      <c r="H264" s="81">
        <f t="shared" si="3"/>
        <v>0</v>
      </c>
    </row>
    <row r="265" spans="1:8" s="2" customFormat="1" ht="36.75" customHeight="1" x14ac:dyDescent="0.2">
      <c r="A265" s="26" t="s">
        <v>274</v>
      </c>
      <c r="B265" s="26" t="s">
        <v>30</v>
      </c>
      <c r="C265" s="94" t="s">
        <v>1025</v>
      </c>
      <c r="D265" s="82" t="s">
        <v>275</v>
      </c>
      <c r="E265" s="85"/>
      <c r="F265" s="26" t="s">
        <v>406</v>
      </c>
      <c r="G265" s="96">
        <v>2.76</v>
      </c>
      <c r="H265" s="81">
        <f t="shared" si="3"/>
        <v>0</v>
      </c>
    </row>
    <row r="266" spans="1:8" s="2" customFormat="1" ht="36.75" customHeight="1" x14ac:dyDescent="0.2">
      <c r="A266" s="26" t="s">
        <v>620</v>
      </c>
      <c r="B266" s="26" t="s">
        <v>19</v>
      </c>
      <c r="C266" s="94" t="s">
        <v>1025</v>
      </c>
      <c r="D266" s="82" t="s">
        <v>621</v>
      </c>
      <c r="E266" s="85"/>
      <c r="F266" s="26" t="s">
        <v>400</v>
      </c>
      <c r="G266" s="96">
        <v>2.83</v>
      </c>
      <c r="H266" s="81">
        <f t="shared" si="3"/>
        <v>0</v>
      </c>
    </row>
    <row r="267" spans="1:8" s="2" customFormat="1" ht="36.75" customHeight="1" x14ac:dyDescent="0.2">
      <c r="A267" s="26" t="s">
        <v>742</v>
      </c>
      <c r="B267" s="26" t="s">
        <v>65</v>
      </c>
      <c r="C267" s="94" t="s">
        <v>1024</v>
      </c>
      <c r="D267" s="82" t="s">
        <v>743</v>
      </c>
      <c r="E267" s="85"/>
      <c r="F267" s="26" t="s">
        <v>397</v>
      </c>
      <c r="G267" s="96">
        <v>2</v>
      </c>
      <c r="H267" s="81">
        <f t="shared" ref="H267:H328" si="4">E267*G267</f>
        <v>0</v>
      </c>
    </row>
    <row r="268" spans="1:8" s="2" customFormat="1" ht="36.75" customHeight="1" x14ac:dyDescent="0.2">
      <c r="A268" s="26" t="s">
        <v>276</v>
      </c>
      <c r="B268" s="26" t="s">
        <v>47</v>
      </c>
      <c r="C268" s="94" t="s">
        <v>1024</v>
      </c>
      <c r="D268" s="82" t="s">
        <v>277</v>
      </c>
      <c r="E268" s="85"/>
      <c r="F268" s="26" t="s">
        <v>413</v>
      </c>
      <c r="G268" s="96">
        <v>1.51</v>
      </c>
      <c r="H268" s="81">
        <f t="shared" si="4"/>
        <v>0</v>
      </c>
    </row>
    <row r="269" spans="1:8" s="2" customFormat="1" ht="36.75" customHeight="1" x14ac:dyDescent="0.2">
      <c r="A269" s="26" t="s">
        <v>622</v>
      </c>
      <c r="B269" s="26" t="s">
        <v>43</v>
      </c>
      <c r="C269" s="94" t="s">
        <v>1024</v>
      </c>
      <c r="D269" s="82" t="s">
        <v>623</v>
      </c>
      <c r="E269" s="85"/>
      <c r="F269" s="26" t="s">
        <v>413</v>
      </c>
      <c r="G269" s="96">
        <v>1.41</v>
      </c>
      <c r="H269" s="81">
        <f t="shared" si="4"/>
        <v>0</v>
      </c>
    </row>
    <row r="270" spans="1:8" s="2" customFormat="1" ht="36.75" customHeight="1" x14ac:dyDescent="0.2">
      <c r="A270" s="26" t="s">
        <v>865</v>
      </c>
      <c r="B270" s="26" t="s">
        <v>866</v>
      </c>
      <c r="C270" s="94" t="s">
        <v>993</v>
      </c>
      <c r="D270" s="82" t="s">
        <v>867</v>
      </c>
      <c r="E270" s="85"/>
      <c r="F270" s="26" t="s">
        <v>528</v>
      </c>
      <c r="G270" s="96">
        <v>2.89</v>
      </c>
      <c r="H270" s="81">
        <f t="shared" si="4"/>
        <v>0</v>
      </c>
    </row>
    <row r="271" spans="1:8" s="2" customFormat="1" ht="36.75" customHeight="1" x14ac:dyDescent="0.2">
      <c r="A271" s="26" t="s">
        <v>868</v>
      </c>
      <c r="B271" s="26" t="s">
        <v>869</v>
      </c>
      <c r="C271" s="94" t="s">
        <v>993</v>
      </c>
      <c r="D271" s="82" t="s">
        <v>870</v>
      </c>
      <c r="E271" s="85"/>
      <c r="F271" s="26" t="s">
        <v>417</v>
      </c>
      <c r="G271" s="96">
        <v>1.89</v>
      </c>
      <c r="H271" s="81">
        <f t="shared" si="4"/>
        <v>0</v>
      </c>
    </row>
    <row r="272" spans="1:8" s="2" customFormat="1" ht="36.75" customHeight="1" x14ac:dyDescent="0.2">
      <c r="A272" s="26" t="s">
        <v>871</v>
      </c>
      <c r="B272" s="26" t="s">
        <v>869</v>
      </c>
      <c r="C272" s="94" t="s">
        <v>993</v>
      </c>
      <c r="D272" s="82" t="s">
        <v>872</v>
      </c>
      <c r="E272" s="85"/>
      <c r="F272" s="26" t="s">
        <v>726</v>
      </c>
      <c r="G272" s="96">
        <v>2.33</v>
      </c>
      <c r="H272" s="81">
        <f t="shared" si="4"/>
        <v>0</v>
      </c>
    </row>
    <row r="273" spans="1:8" s="2" customFormat="1" ht="36.75" customHeight="1" x14ac:dyDescent="0.2">
      <c r="A273" s="26" t="s">
        <v>822</v>
      </c>
      <c r="B273" s="26" t="s">
        <v>19</v>
      </c>
      <c r="C273" s="94" t="s">
        <v>993</v>
      </c>
      <c r="D273" s="82" t="s">
        <v>823</v>
      </c>
      <c r="E273" s="85"/>
      <c r="F273" s="26" t="s">
        <v>838</v>
      </c>
      <c r="G273" s="96">
        <v>22.29</v>
      </c>
      <c r="H273" s="81">
        <f t="shared" si="4"/>
        <v>0</v>
      </c>
    </row>
    <row r="274" spans="1:8" s="2" customFormat="1" ht="36.75" customHeight="1" x14ac:dyDescent="0.2">
      <c r="A274" s="26" t="s">
        <v>777</v>
      </c>
      <c r="B274" s="26" t="s">
        <v>57</v>
      </c>
      <c r="C274" s="94" t="s">
        <v>993</v>
      </c>
      <c r="D274" s="82" t="s">
        <v>778</v>
      </c>
      <c r="E274" s="85"/>
      <c r="F274" s="26" t="s">
        <v>475</v>
      </c>
      <c r="G274" s="96">
        <v>2.86</v>
      </c>
      <c r="H274" s="81">
        <f t="shared" si="4"/>
        <v>0</v>
      </c>
    </row>
    <row r="275" spans="1:8" s="2" customFormat="1" ht="36.75" customHeight="1" x14ac:dyDescent="0.2">
      <c r="A275" s="26" t="s">
        <v>279</v>
      </c>
      <c r="B275" s="26" t="s">
        <v>25</v>
      </c>
      <c r="C275" s="94" t="s">
        <v>1027</v>
      </c>
      <c r="D275" s="82" t="s">
        <v>280</v>
      </c>
      <c r="E275" s="85"/>
      <c r="F275" s="26" t="s">
        <v>404</v>
      </c>
      <c r="G275" s="96">
        <v>10.31</v>
      </c>
      <c r="H275" s="81">
        <f t="shared" si="4"/>
        <v>0</v>
      </c>
    </row>
    <row r="276" spans="1:8" s="2" customFormat="1" ht="36.75" customHeight="1" x14ac:dyDescent="0.2">
      <c r="A276" s="26" t="s">
        <v>937</v>
      </c>
      <c r="B276" s="26" t="s">
        <v>30</v>
      </c>
      <c r="C276" s="94" t="s">
        <v>1029</v>
      </c>
      <c r="D276" s="82" t="s">
        <v>938</v>
      </c>
      <c r="E276" s="85"/>
      <c r="F276" s="26" t="s">
        <v>407</v>
      </c>
      <c r="G276" s="96">
        <v>3.71</v>
      </c>
      <c r="H276" s="81">
        <f t="shared" si="4"/>
        <v>0</v>
      </c>
    </row>
    <row r="277" spans="1:8" s="2" customFormat="1" ht="36.75" customHeight="1" x14ac:dyDescent="0.2">
      <c r="A277" s="26" t="s">
        <v>281</v>
      </c>
      <c r="B277" s="26" t="s">
        <v>62</v>
      </c>
      <c r="C277" s="94" t="s">
        <v>1029</v>
      </c>
      <c r="D277" s="82" t="s">
        <v>282</v>
      </c>
      <c r="E277" s="85"/>
      <c r="F277" s="26" t="s">
        <v>403</v>
      </c>
      <c r="G277" s="96">
        <v>16.760000000000002</v>
      </c>
      <c r="H277" s="81">
        <f t="shared" si="4"/>
        <v>0</v>
      </c>
    </row>
    <row r="278" spans="1:8" s="2" customFormat="1" ht="36.75" customHeight="1" x14ac:dyDescent="0.2">
      <c r="A278" s="26" t="s">
        <v>220</v>
      </c>
      <c r="B278" s="26" t="s">
        <v>40</v>
      </c>
      <c r="C278" s="94" t="s">
        <v>1029</v>
      </c>
      <c r="D278" s="82" t="s">
        <v>673</v>
      </c>
      <c r="E278" s="85"/>
      <c r="F278" s="26" t="s">
        <v>412</v>
      </c>
      <c r="G278" s="96">
        <v>2.57</v>
      </c>
      <c r="H278" s="81">
        <f t="shared" si="4"/>
        <v>0</v>
      </c>
    </row>
    <row r="279" spans="1:8" s="2" customFormat="1" ht="36.75" customHeight="1" x14ac:dyDescent="0.2">
      <c r="A279" s="26" t="s">
        <v>283</v>
      </c>
      <c r="B279" s="26" t="s">
        <v>36</v>
      </c>
      <c r="C279" s="94" t="s">
        <v>1024</v>
      </c>
      <c r="D279" s="82" t="s">
        <v>859</v>
      </c>
      <c r="E279" s="85"/>
      <c r="F279" s="26" t="s">
        <v>440</v>
      </c>
      <c r="G279" s="96">
        <v>1.9</v>
      </c>
      <c r="H279" s="81">
        <f t="shared" si="4"/>
        <v>0</v>
      </c>
    </row>
    <row r="280" spans="1:8" s="2" customFormat="1" ht="36.75" customHeight="1" x14ac:dyDescent="0.2">
      <c r="A280" s="26" t="s">
        <v>284</v>
      </c>
      <c r="B280" s="26" t="s">
        <v>101</v>
      </c>
      <c r="C280" s="94" t="s">
        <v>1029</v>
      </c>
      <c r="D280" s="82" t="s">
        <v>285</v>
      </c>
      <c r="E280" s="85"/>
      <c r="F280" s="26" t="s">
        <v>405</v>
      </c>
      <c r="G280" s="96">
        <v>2.29</v>
      </c>
      <c r="H280" s="81">
        <f t="shared" si="4"/>
        <v>0</v>
      </c>
    </row>
    <row r="281" spans="1:8" s="2" customFormat="1" ht="36.75" customHeight="1" x14ac:dyDescent="0.2">
      <c r="A281" s="26" t="s">
        <v>580</v>
      </c>
      <c r="B281" s="26" t="s">
        <v>28</v>
      </c>
      <c r="C281" s="94" t="s">
        <v>1029</v>
      </c>
      <c r="D281" s="82" t="s">
        <v>581</v>
      </c>
      <c r="E281" s="85"/>
      <c r="F281" s="26" t="s">
        <v>399</v>
      </c>
      <c r="G281" s="96">
        <v>1.43</v>
      </c>
      <c r="H281" s="81">
        <f t="shared" si="4"/>
        <v>0</v>
      </c>
    </row>
    <row r="282" spans="1:8" s="2" customFormat="1" ht="36.75" customHeight="1" x14ac:dyDescent="0.2">
      <c r="A282" s="26" t="s">
        <v>286</v>
      </c>
      <c r="B282" s="26" t="s">
        <v>30</v>
      </c>
      <c r="C282" s="94" t="s">
        <v>1029</v>
      </c>
      <c r="D282" s="82" t="s">
        <v>287</v>
      </c>
      <c r="E282" s="85"/>
      <c r="F282" s="26" t="s">
        <v>430</v>
      </c>
      <c r="G282" s="96">
        <v>2.29</v>
      </c>
      <c r="H282" s="81">
        <f t="shared" si="4"/>
        <v>0</v>
      </c>
    </row>
    <row r="283" spans="1:8" s="2" customFormat="1" ht="36.75" customHeight="1" x14ac:dyDescent="0.2">
      <c r="A283" s="26" t="s">
        <v>939</v>
      </c>
      <c r="B283" s="26" t="s">
        <v>30</v>
      </c>
      <c r="C283" s="94" t="s">
        <v>1029</v>
      </c>
      <c r="D283" s="82" t="s">
        <v>940</v>
      </c>
      <c r="E283" s="85"/>
      <c r="F283" s="26" t="s">
        <v>415</v>
      </c>
      <c r="G283" s="96">
        <v>3.43</v>
      </c>
      <c r="H283" s="81">
        <f t="shared" si="4"/>
        <v>0</v>
      </c>
    </row>
    <row r="284" spans="1:8" s="2" customFormat="1" ht="36.75" customHeight="1" x14ac:dyDescent="0.2">
      <c r="A284" s="26" t="s">
        <v>941</v>
      </c>
      <c r="B284" s="26" t="s">
        <v>30</v>
      </c>
      <c r="C284" s="94" t="s">
        <v>1029</v>
      </c>
      <c r="D284" s="82" t="s">
        <v>942</v>
      </c>
      <c r="E284" s="85"/>
      <c r="F284" s="26" t="s">
        <v>415</v>
      </c>
      <c r="G284" s="96">
        <v>3.71</v>
      </c>
      <c r="H284" s="81">
        <f t="shared" si="4"/>
        <v>0</v>
      </c>
    </row>
    <row r="285" spans="1:8" s="2" customFormat="1" ht="36.75" customHeight="1" x14ac:dyDescent="0.2">
      <c r="A285" s="26" t="s">
        <v>288</v>
      </c>
      <c r="B285" s="26" t="s">
        <v>19</v>
      </c>
      <c r="C285" s="94" t="s">
        <v>1025</v>
      </c>
      <c r="D285" s="82" t="s">
        <v>289</v>
      </c>
      <c r="E285" s="85"/>
      <c r="F285" s="26" t="s">
        <v>398</v>
      </c>
      <c r="G285" s="96">
        <v>4.4000000000000004</v>
      </c>
      <c r="H285" s="81">
        <f t="shared" si="4"/>
        <v>0</v>
      </c>
    </row>
    <row r="286" spans="1:8" s="2" customFormat="1" ht="36.75" customHeight="1" x14ac:dyDescent="0.2">
      <c r="A286" s="26" t="s">
        <v>480</v>
      </c>
      <c r="B286" s="26" t="s">
        <v>43</v>
      </c>
      <c r="C286" s="94" t="s">
        <v>1024</v>
      </c>
      <c r="D286" s="82" t="s">
        <v>481</v>
      </c>
      <c r="E286" s="85"/>
      <c r="F286" s="26" t="s">
        <v>403</v>
      </c>
      <c r="G286" s="96">
        <v>9.9</v>
      </c>
      <c r="H286" s="81">
        <f t="shared" si="4"/>
        <v>0</v>
      </c>
    </row>
    <row r="287" spans="1:8" s="2" customFormat="1" ht="36.75" customHeight="1" x14ac:dyDescent="0.2">
      <c r="A287" s="26" t="s">
        <v>506</v>
      </c>
      <c r="B287" s="26" t="s">
        <v>19</v>
      </c>
      <c r="C287" s="94" t="s">
        <v>1029</v>
      </c>
      <c r="D287" s="82" t="s">
        <v>507</v>
      </c>
      <c r="E287" s="85"/>
      <c r="F287" s="26" t="s">
        <v>403</v>
      </c>
      <c r="G287" s="96">
        <v>2.37</v>
      </c>
      <c r="H287" s="81">
        <f t="shared" si="4"/>
        <v>0</v>
      </c>
    </row>
    <row r="288" spans="1:8" s="2" customFormat="1" ht="36.75" customHeight="1" x14ac:dyDescent="0.2">
      <c r="A288" s="38" t="s">
        <v>557</v>
      </c>
      <c r="B288" s="38" t="s">
        <v>58</v>
      </c>
      <c r="C288" s="93" t="s">
        <v>995</v>
      </c>
      <c r="D288" s="88" t="s">
        <v>558</v>
      </c>
      <c r="E288" s="89"/>
      <c r="F288" s="38" t="s">
        <v>566</v>
      </c>
      <c r="G288" s="96">
        <v>2.81</v>
      </c>
      <c r="H288" s="39">
        <f t="shared" si="4"/>
        <v>0</v>
      </c>
    </row>
    <row r="289" spans="1:8" s="2" customFormat="1" ht="36.75" customHeight="1" x14ac:dyDescent="0.2">
      <c r="A289" s="38" t="s">
        <v>290</v>
      </c>
      <c r="B289" s="38" t="s">
        <v>16</v>
      </c>
      <c r="C289" s="93" t="s">
        <v>995</v>
      </c>
      <c r="D289" s="88" t="s">
        <v>291</v>
      </c>
      <c r="E289" s="89"/>
      <c r="F289" s="38" t="s">
        <v>408</v>
      </c>
      <c r="G289" s="96">
        <v>4.43</v>
      </c>
      <c r="H289" s="39">
        <f t="shared" si="4"/>
        <v>0</v>
      </c>
    </row>
    <row r="290" spans="1:8" s="2" customFormat="1" ht="36.75" customHeight="1" x14ac:dyDescent="0.2">
      <c r="A290" s="26" t="s">
        <v>713</v>
      </c>
      <c r="B290" s="26" t="s">
        <v>693</v>
      </c>
      <c r="C290" s="94" t="s">
        <v>1029</v>
      </c>
      <c r="D290" s="82" t="s">
        <v>714</v>
      </c>
      <c r="E290" s="85"/>
      <c r="F290" s="26" t="s">
        <v>429</v>
      </c>
      <c r="G290" s="96">
        <v>1.29</v>
      </c>
      <c r="H290" s="81">
        <f t="shared" si="4"/>
        <v>0</v>
      </c>
    </row>
    <row r="291" spans="1:8" s="2" customFormat="1" ht="36.75" customHeight="1" x14ac:dyDescent="0.2">
      <c r="A291" s="26" t="s">
        <v>943</v>
      </c>
      <c r="B291" s="26" t="s">
        <v>30</v>
      </c>
      <c r="C291" s="94" t="s">
        <v>1029</v>
      </c>
      <c r="D291" s="82" t="s">
        <v>944</v>
      </c>
      <c r="E291" s="85"/>
      <c r="F291" s="26" t="s">
        <v>439</v>
      </c>
      <c r="G291" s="96">
        <v>0.56999999999999995</v>
      </c>
      <c r="H291" s="81">
        <f t="shared" si="4"/>
        <v>0</v>
      </c>
    </row>
    <row r="292" spans="1:8" s="2" customFormat="1" ht="36.75" customHeight="1" x14ac:dyDescent="0.2">
      <c r="A292" s="26" t="s">
        <v>559</v>
      </c>
      <c r="B292" s="26" t="s">
        <v>30</v>
      </c>
      <c r="C292" s="94" t="s">
        <v>1027</v>
      </c>
      <c r="D292" s="82" t="s">
        <v>779</v>
      </c>
      <c r="E292" s="85"/>
      <c r="F292" s="26" t="s">
        <v>417</v>
      </c>
      <c r="G292" s="96">
        <v>2</v>
      </c>
      <c r="H292" s="81">
        <f t="shared" si="4"/>
        <v>0</v>
      </c>
    </row>
    <row r="293" spans="1:8" s="2" customFormat="1" ht="36.75" customHeight="1" x14ac:dyDescent="0.2">
      <c r="A293" s="26" t="s">
        <v>292</v>
      </c>
      <c r="B293" s="26" t="s">
        <v>99</v>
      </c>
      <c r="C293" s="94" t="s">
        <v>1029</v>
      </c>
      <c r="D293" s="82" t="s">
        <v>293</v>
      </c>
      <c r="E293" s="85"/>
      <c r="F293" s="26" t="s">
        <v>405</v>
      </c>
      <c r="G293" s="96">
        <v>1.47</v>
      </c>
      <c r="H293" s="81">
        <f t="shared" si="4"/>
        <v>0</v>
      </c>
    </row>
    <row r="294" spans="1:8" s="2" customFormat="1" ht="36.75" customHeight="1" x14ac:dyDescent="0.2">
      <c r="A294" s="26" t="s">
        <v>294</v>
      </c>
      <c r="B294" s="26" t="s">
        <v>41</v>
      </c>
      <c r="C294" s="94" t="s">
        <v>1029</v>
      </c>
      <c r="D294" s="82" t="s">
        <v>295</v>
      </c>
      <c r="E294" s="85"/>
      <c r="F294" s="26" t="s">
        <v>403</v>
      </c>
      <c r="G294" s="96">
        <v>0.67</v>
      </c>
      <c r="H294" s="81">
        <f t="shared" si="4"/>
        <v>0</v>
      </c>
    </row>
    <row r="295" spans="1:8" s="2" customFormat="1" ht="36.75" customHeight="1" x14ac:dyDescent="0.2">
      <c r="A295" s="26" t="s">
        <v>296</v>
      </c>
      <c r="B295" s="26" t="s">
        <v>19</v>
      </c>
      <c r="C295" s="94" t="s">
        <v>1029</v>
      </c>
      <c r="D295" s="82" t="s">
        <v>297</v>
      </c>
      <c r="E295" s="85"/>
      <c r="F295" s="26" t="s">
        <v>406</v>
      </c>
      <c r="G295" s="96">
        <v>4.3099999999999996</v>
      </c>
      <c r="H295" s="81">
        <f t="shared" si="4"/>
        <v>0</v>
      </c>
    </row>
    <row r="296" spans="1:8" s="2" customFormat="1" ht="36.75" customHeight="1" x14ac:dyDescent="0.2">
      <c r="A296" s="26" t="s">
        <v>298</v>
      </c>
      <c r="B296" s="26" t="s">
        <v>30</v>
      </c>
      <c r="C296" s="94" t="s">
        <v>1029</v>
      </c>
      <c r="D296" s="82" t="s">
        <v>299</v>
      </c>
      <c r="E296" s="85"/>
      <c r="F296" s="26" t="s">
        <v>398</v>
      </c>
      <c r="G296" s="96">
        <v>3.27</v>
      </c>
      <c r="H296" s="81">
        <f t="shared" si="4"/>
        <v>0</v>
      </c>
    </row>
    <row r="297" spans="1:8" s="2" customFormat="1" ht="36.75" customHeight="1" x14ac:dyDescent="0.2">
      <c r="A297" s="26" t="s">
        <v>300</v>
      </c>
      <c r="B297" s="26" t="s">
        <v>30</v>
      </c>
      <c r="C297" s="94" t="s">
        <v>1029</v>
      </c>
      <c r="D297" s="82" t="s">
        <v>301</v>
      </c>
      <c r="E297" s="85"/>
      <c r="F297" s="26" t="s">
        <v>407</v>
      </c>
      <c r="G297" s="96">
        <v>8</v>
      </c>
      <c r="H297" s="81">
        <f t="shared" si="4"/>
        <v>0</v>
      </c>
    </row>
    <row r="298" spans="1:8" s="2" customFormat="1" ht="36.75" customHeight="1" x14ac:dyDescent="0.2">
      <c r="A298" s="26" t="s">
        <v>491</v>
      </c>
      <c r="B298" s="26" t="s">
        <v>57</v>
      </c>
      <c r="C298" s="94" t="s">
        <v>993</v>
      </c>
      <c r="D298" s="82" t="s">
        <v>895</v>
      </c>
      <c r="E298" s="85"/>
      <c r="F298" s="26" t="s">
        <v>475</v>
      </c>
      <c r="G298" s="96">
        <v>1.1399999999999999</v>
      </c>
      <c r="H298" s="81">
        <f t="shared" si="4"/>
        <v>0</v>
      </c>
    </row>
    <row r="299" spans="1:8" s="2" customFormat="1" ht="36.75" customHeight="1" x14ac:dyDescent="0.2">
      <c r="A299" s="26" t="s">
        <v>302</v>
      </c>
      <c r="B299" s="26" t="s">
        <v>57</v>
      </c>
      <c r="C299" s="94" t="s">
        <v>993</v>
      </c>
      <c r="D299" s="82" t="s">
        <v>945</v>
      </c>
      <c r="E299" s="85"/>
      <c r="F299" s="26" t="s">
        <v>441</v>
      </c>
      <c r="G299" s="96">
        <v>1.27</v>
      </c>
      <c r="H299" s="81">
        <f t="shared" si="4"/>
        <v>0</v>
      </c>
    </row>
    <row r="300" spans="1:8" s="2" customFormat="1" ht="36.75" customHeight="1" x14ac:dyDescent="0.2">
      <c r="A300" s="26" t="s">
        <v>624</v>
      </c>
      <c r="B300" s="26" t="s">
        <v>19</v>
      </c>
      <c r="C300" s="94" t="s">
        <v>993</v>
      </c>
      <c r="D300" s="82" t="s">
        <v>625</v>
      </c>
      <c r="E300" s="85"/>
      <c r="F300" s="26" t="s">
        <v>744</v>
      </c>
      <c r="G300" s="96">
        <v>2.34</v>
      </c>
      <c r="H300" s="81">
        <f t="shared" si="4"/>
        <v>0</v>
      </c>
    </row>
    <row r="301" spans="1:8" s="2" customFormat="1" ht="36.75" customHeight="1" x14ac:dyDescent="0.2">
      <c r="A301" s="26" t="s">
        <v>626</v>
      </c>
      <c r="B301" s="26" t="s">
        <v>57</v>
      </c>
      <c r="C301" s="94" t="s">
        <v>993</v>
      </c>
      <c r="D301" s="82" t="s">
        <v>627</v>
      </c>
      <c r="E301" s="85"/>
      <c r="F301" s="26" t="s">
        <v>441</v>
      </c>
      <c r="G301" s="96">
        <v>4.16</v>
      </c>
      <c r="H301" s="81">
        <f t="shared" si="4"/>
        <v>0</v>
      </c>
    </row>
    <row r="302" spans="1:8" s="2" customFormat="1" ht="36.75" customHeight="1" x14ac:dyDescent="0.2">
      <c r="A302" s="26" t="s">
        <v>303</v>
      </c>
      <c r="B302" s="26" t="s">
        <v>19</v>
      </c>
      <c r="C302" s="94" t="s">
        <v>993</v>
      </c>
      <c r="D302" s="82" t="s">
        <v>628</v>
      </c>
      <c r="E302" s="85"/>
      <c r="F302" s="26" t="s">
        <v>420</v>
      </c>
      <c r="G302" s="96">
        <v>2.67</v>
      </c>
      <c r="H302" s="81">
        <f t="shared" si="4"/>
        <v>0</v>
      </c>
    </row>
    <row r="303" spans="1:8" s="2" customFormat="1" ht="36.75" customHeight="1" x14ac:dyDescent="0.2">
      <c r="A303" s="26" t="s">
        <v>304</v>
      </c>
      <c r="B303" s="26" t="s">
        <v>19</v>
      </c>
      <c r="C303" s="94" t="s">
        <v>993</v>
      </c>
      <c r="D303" s="82" t="s">
        <v>629</v>
      </c>
      <c r="E303" s="85"/>
      <c r="F303" s="26" t="s">
        <v>404</v>
      </c>
      <c r="G303" s="96">
        <v>2.67</v>
      </c>
      <c r="H303" s="81">
        <f t="shared" si="4"/>
        <v>0</v>
      </c>
    </row>
    <row r="304" spans="1:8" s="2" customFormat="1" ht="36.75" customHeight="1" x14ac:dyDescent="0.2">
      <c r="A304" s="26" t="s">
        <v>630</v>
      </c>
      <c r="B304" s="26" t="s">
        <v>19</v>
      </c>
      <c r="C304" s="94" t="s">
        <v>993</v>
      </c>
      <c r="D304" s="82" t="s">
        <v>631</v>
      </c>
      <c r="E304" s="85"/>
      <c r="F304" s="26" t="s">
        <v>477</v>
      </c>
      <c r="G304" s="96">
        <v>1.9</v>
      </c>
      <c r="H304" s="81">
        <f t="shared" si="4"/>
        <v>0</v>
      </c>
    </row>
    <row r="305" spans="1:8" s="2" customFormat="1" ht="36.75" customHeight="1" x14ac:dyDescent="0.2">
      <c r="A305" s="26" t="s">
        <v>632</v>
      </c>
      <c r="B305" s="26" t="s">
        <v>19</v>
      </c>
      <c r="C305" s="94" t="s">
        <v>993</v>
      </c>
      <c r="D305" s="82" t="s">
        <v>633</v>
      </c>
      <c r="E305" s="85"/>
      <c r="F305" s="26" t="s">
        <v>477</v>
      </c>
      <c r="G305" s="96">
        <v>1.9</v>
      </c>
      <c r="H305" s="81">
        <f t="shared" si="4"/>
        <v>0</v>
      </c>
    </row>
    <row r="306" spans="1:8" s="2" customFormat="1" ht="36.75" customHeight="1" x14ac:dyDescent="0.2">
      <c r="A306" s="26" t="s">
        <v>305</v>
      </c>
      <c r="B306" s="26" t="s">
        <v>40</v>
      </c>
      <c r="C306" s="94" t="s">
        <v>1029</v>
      </c>
      <c r="D306" s="82" t="s">
        <v>674</v>
      </c>
      <c r="E306" s="85"/>
      <c r="F306" s="26" t="s">
        <v>406</v>
      </c>
      <c r="G306" s="96">
        <v>1.86</v>
      </c>
      <c r="H306" s="81">
        <f t="shared" si="4"/>
        <v>0</v>
      </c>
    </row>
    <row r="307" spans="1:8" s="2" customFormat="1" ht="36.75" customHeight="1" x14ac:dyDescent="0.2">
      <c r="A307" s="26" t="s">
        <v>306</v>
      </c>
      <c r="B307" s="26" t="s">
        <v>108</v>
      </c>
      <c r="C307" s="94" t="s">
        <v>1024</v>
      </c>
      <c r="D307" s="82" t="s">
        <v>307</v>
      </c>
      <c r="E307" s="85"/>
      <c r="F307" s="26" t="s">
        <v>403</v>
      </c>
      <c r="G307" s="96">
        <v>2.67</v>
      </c>
      <c r="H307" s="81">
        <f t="shared" si="4"/>
        <v>0</v>
      </c>
    </row>
    <row r="308" spans="1:8" s="2" customFormat="1" ht="36.75" customHeight="1" x14ac:dyDescent="0.2">
      <c r="A308" s="26" t="s">
        <v>634</v>
      </c>
      <c r="B308" s="26" t="s">
        <v>43</v>
      </c>
      <c r="C308" s="94" t="s">
        <v>1024</v>
      </c>
      <c r="D308" s="82" t="s">
        <v>635</v>
      </c>
      <c r="E308" s="85"/>
      <c r="F308" s="26" t="s">
        <v>408</v>
      </c>
      <c r="G308" s="96">
        <v>11.17</v>
      </c>
      <c r="H308" s="81">
        <f t="shared" si="4"/>
        <v>0</v>
      </c>
    </row>
    <row r="309" spans="1:8" s="2" customFormat="1" ht="36.75" customHeight="1" x14ac:dyDescent="0.2">
      <c r="A309" s="26" t="s">
        <v>839</v>
      </c>
      <c r="B309" s="26" t="s">
        <v>47</v>
      </c>
      <c r="C309" s="94" t="s">
        <v>1024</v>
      </c>
      <c r="D309" s="82" t="s">
        <v>840</v>
      </c>
      <c r="E309" s="85"/>
      <c r="F309" s="26" t="s">
        <v>399</v>
      </c>
      <c r="G309" s="96">
        <v>10.1</v>
      </c>
      <c r="H309" s="81">
        <f t="shared" si="4"/>
        <v>0</v>
      </c>
    </row>
    <row r="310" spans="1:8" s="2" customFormat="1" ht="36.75" customHeight="1" x14ac:dyDescent="0.2">
      <c r="A310" s="26" t="s">
        <v>308</v>
      </c>
      <c r="B310" s="26" t="s">
        <v>52</v>
      </c>
      <c r="C310" s="94" t="s">
        <v>1024</v>
      </c>
      <c r="D310" s="82" t="s">
        <v>309</v>
      </c>
      <c r="E310" s="85"/>
      <c r="F310" s="26" t="s">
        <v>442</v>
      </c>
      <c r="G310" s="96">
        <v>12.69</v>
      </c>
      <c r="H310" s="81">
        <f t="shared" si="4"/>
        <v>0</v>
      </c>
    </row>
    <row r="311" spans="1:8" s="2" customFormat="1" ht="36.75" customHeight="1" x14ac:dyDescent="0.2">
      <c r="A311" s="26" t="s">
        <v>946</v>
      </c>
      <c r="B311" s="26" t="s">
        <v>30</v>
      </c>
      <c r="C311" s="94" t="s">
        <v>1029</v>
      </c>
      <c r="D311" s="82" t="s">
        <v>947</v>
      </c>
      <c r="E311" s="85"/>
      <c r="F311" s="26" t="s">
        <v>417</v>
      </c>
      <c r="G311" s="96">
        <v>1.43</v>
      </c>
      <c r="H311" s="81">
        <f t="shared" si="4"/>
        <v>0</v>
      </c>
    </row>
    <row r="312" spans="1:8" s="2" customFormat="1" ht="36.75" customHeight="1" x14ac:dyDescent="0.2">
      <c r="A312" s="26" t="s">
        <v>948</v>
      </c>
      <c r="B312" s="26" t="s">
        <v>30</v>
      </c>
      <c r="C312" s="94" t="s">
        <v>1029</v>
      </c>
      <c r="D312" s="82" t="s">
        <v>949</v>
      </c>
      <c r="E312" s="85"/>
      <c r="F312" s="26" t="s">
        <v>430</v>
      </c>
      <c r="G312" s="96">
        <v>2.57</v>
      </c>
      <c r="H312" s="81">
        <f t="shared" si="4"/>
        <v>0</v>
      </c>
    </row>
    <row r="313" spans="1:8" s="2" customFormat="1" ht="36.75" customHeight="1" x14ac:dyDescent="0.2">
      <c r="A313" s="26" t="s">
        <v>1020</v>
      </c>
      <c r="B313" s="26" t="s">
        <v>45</v>
      </c>
      <c r="C313" s="94" t="s">
        <v>1024</v>
      </c>
      <c r="D313" s="82" t="s">
        <v>1021</v>
      </c>
      <c r="E313" s="85"/>
      <c r="F313" s="26" t="s">
        <v>439</v>
      </c>
      <c r="G313" s="96">
        <v>8.2899999999999991</v>
      </c>
      <c r="H313" s="81">
        <f t="shared" si="4"/>
        <v>0</v>
      </c>
    </row>
    <row r="314" spans="1:8" s="2" customFormat="1" ht="36.75" customHeight="1" x14ac:dyDescent="0.2">
      <c r="A314" s="26" t="s">
        <v>310</v>
      </c>
      <c r="B314" s="26" t="s">
        <v>43</v>
      </c>
      <c r="C314" s="94" t="s">
        <v>1024</v>
      </c>
      <c r="D314" s="82" t="s">
        <v>311</v>
      </c>
      <c r="E314" s="85"/>
      <c r="F314" s="26" t="s">
        <v>413</v>
      </c>
      <c r="G314" s="96">
        <v>13.79</v>
      </c>
      <c r="H314" s="81">
        <f t="shared" si="4"/>
        <v>0</v>
      </c>
    </row>
    <row r="315" spans="1:8" s="2" customFormat="1" ht="36.75" customHeight="1" x14ac:dyDescent="0.2">
      <c r="A315" s="26" t="s">
        <v>312</v>
      </c>
      <c r="B315" s="26" t="s">
        <v>23</v>
      </c>
      <c r="C315" s="94" t="s">
        <v>1029</v>
      </c>
      <c r="D315" s="82" t="s">
        <v>313</v>
      </c>
      <c r="E315" s="85"/>
      <c r="F315" s="26" t="s">
        <v>412</v>
      </c>
      <c r="G315" s="96">
        <v>0.73</v>
      </c>
      <c r="H315" s="81">
        <f t="shared" si="4"/>
        <v>0</v>
      </c>
    </row>
    <row r="316" spans="1:8" s="2" customFormat="1" ht="36.75" customHeight="1" x14ac:dyDescent="0.2">
      <c r="A316" s="26" t="s">
        <v>802</v>
      </c>
      <c r="B316" s="26" t="s">
        <v>65</v>
      </c>
      <c r="C316" s="94" t="s">
        <v>1024</v>
      </c>
      <c r="D316" s="82" t="s">
        <v>803</v>
      </c>
      <c r="E316" s="85"/>
      <c r="F316" s="26" t="s">
        <v>433</v>
      </c>
      <c r="G316" s="96">
        <v>0.83</v>
      </c>
      <c r="H316" s="81">
        <f t="shared" si="4"/>
        <v>0</v>
      </c>
    </row>
    <row r="317" spans="1:8" s="2" customFormat="1" ht="36.75" customHeight="1" x14ac:dyDescent="0.2">
      <c r="A317" s="26" t="s">
        <v>675</v>
      </c>
      <c r="B317" s="26" t="s">
        <v>47</v>
      </c>
      <c r="C317" s="94" t="s">
        <v>1024</v>
      </c>
      <c r="D317" s="82" t="s">
        <v>676</v>
      </c>
      <c r="E317" s="85"/>
      <c r="F317" s="26" t="s">
        <v>415</v>
      </c>
      <c r="G317" s="96">
        <v>0.49</v>
      </c>
      <c r="H317" s="81">
        <f t="shared" si="4"/>
        <v>0</v>
      </c>
    </row>
    <row r="318" spans="1:8" s="2" customFormat="1" ht="36.75" customHeight="1" x14ac:dyDescent="0.2">
      <c r="A318" s="26" t="s">
        <v>314</v>
      </c>
      <c r="B318" s="26" t="s">
        <v>30</v>
      </c>
      <c r="C318" s="94" t="s">
        <v>1025</v>
      </c>
      <c r="D318" s="82" t="s">
        <v>315</v>
      </c>
      <c r="E318" s="85"/>
      <c r="F318" s="26" t="s">
        <v>405</v>
      </c>
      <c r="G318" s="96">
        <v>7.44</v>
      </c>
      <c r="H318" s="81">
        <f t="shared" si="4"/>
        <v>0</v>
      </c>
    </row>
    <row r="319" spans="1:8" s="2" customFormat="1" ht="36.75" customHeight="1" x14ac:dyDescent="0.2">
      <c r="A319" s="26" t="s">
        <v>316</v>
      </c>
      <c r="B319" s="26" t="s">
        <v>28</v>
      </c>
      <c r="C319" s="94" t="s">
        <v>1024</v>
      </c>
      <c r="D319" s="82" t="s">
        <v>317</v>
      </c>
      <c r="E319" s="85"/>
      <c r="F319" s="26" t="s">
        <v>443</v>
      </c>
      <c r="G319" s="96">
        <v>2.29</v>
      </c>
      <c r="H319" s="81">
        <f t="shared" si="4"/>
        <v>0</v>
      </c>
    </row>
    <row r="320" spans="1:8" s="2" customFormat="1" ht="36.75" customHeight="1" x14ac:dyDescent="0.2">
      <c r="A320" s="26" t="s">
        <v>318</v>
      </c>
      <c r="B320" s="26" t="s">
        <v>28</v>
      </c>
      <c r="C320" s="94" t="s">
        <v>1029</v>
      </c>
      <c r="D320" s="82" t="s">
        <v>319</v>
      </c>
      <c r="E320" s="85"/>
      <c r="F320" s="26" t="s">
        <v>430</v>
      </c>
      <c r="G320" s="96">
        <v>1.07</v>
      </c>
      <c r="H320" s="81">
        <f t="shared" si="4"/>
        <v>0</v>
      </c>
    </row>
    <row r="321" spans="1:8" s="2" customFormat="1" ht="36.75" customHeight="1" x14ac:dyDescent="0.2">
      <c r="A321" s="26" t="s">
        <v>715</v>
      </c>
      <c r="B321" s="26" t="s">
        <v>693</v>
      </c>
      <c r="C321" s="94" t="s">
        <v>1027</v>
      </c>
      <c r="D321" s="82" t="s">
        <v>716</v>
      </c>
      <c r="E321" s="85"/>
      <c r="F321" s="26" t="s">
        <v>413</v>
      </c>
      <c r="G321" s="96">
        <v>5.49</v>
      </c>
      <c r="H321" s="81">
        <f t="shared" si="4"/>
        <v>0</v>
      </c>
    </row>
    <row r="322" spans="1:8" s="2" customFormat="1" ht="36.75" customHeight="1" x14ac:dyDescent="0.2">
      <c r="A322" s="26" t="s">
        <v>526</v>
      </c>
      <c r="B322" s="26" t="s">
        <v>57</v>
      </c>
      <c r="C322" s="94" t="s">
        <v>993</v>
      </c>
      <c r="D322" s="82" t="s">
        <v>527</v>
      </c>
      <c r="E322" s="85"/>
      <c r="F322" s="26" t="s">
        <v>528</v>
      </c>
      <c r="G322" s="96">
        <v>2.94</v>
      </c>
      <c r="H322" s="81">
        <f t="shared" si="4"/>
        <v>0</v>
      </c>
    </row>
    <row r="323" spans="1:8" s="2" customFormat="1" ht="36.75" customHeight="1" x14ac:dyDescent="0.2">
      <c r="A323" s="26" t="s">
        <v>465</v>
      </c>
      <c r="B323" s="26" t="s">
        <v>261</v>
      </c>
      <c r="C323" s="94" t="s">
        <v>1029</v>
      </c>
      <c r="D323" s="82" t="s">
        <v>466</v>
      </c>
      <c r="E323" s="85"/>
      <c r="F323" s="26" t="s">
        <v>400</v>
      </c>
      <c r="G323" s="96">
        <v>0.56999999999999995</v>
      </c>
      <c r="H323" s="81">
        <f t="shared" si="4"/>
        <v>0</v>
      </c>
    </row>
    <row r="324" spans="1:8" s="2" customFormat="1" ht="36.75" customHeight="1" x14ac:dyDescent="0.2">
      <c r="A324" s="26" t="s">
        <v>733</v>
      </c>
      <c r="B324" s="26" t="s">
        <v>261</v>
      </c>
      <c r="C324" s="94" t="s">
        <v>1029</v>
      </c>
      <c r="D324" s="82" t="s">
        <v>734</v>
      </c>
      <c r="E324" s="85"/>
      <c r="F324" s="26" t="s">
        <v>399</v>
      </c>
      <c r="G324" s="96">
        <v>2.0699999999999998</v>
      </c>
      <c r="H324" s="81">
        <f t="shared" si="4"/>
        <v>0</v>
      </c>
    </row>
    <row r="325" spans="1:8" s="2" customFormat="1" ht="36.75" customHeight="1" x14ac:dyDescent="0.2">
      <c r="A325" s="26" t="s">
        <v>896</v>
      </c>
      <c r="B325" s="26" t="s">
        <v>680</v>
      </c>
      <c r="C325" s="94" t="s">
        <v>993</v>
      </c>
      <c r="D325" s="82" t="s">
        <v>897</v>
      </c>
      <c r="E325" s="85"/>
      <c r="F325" s="26" t="s">
        <v>908</v>
      </c>
      <c r="G325" s="96">
        <v>3.81</v>
      </c>
      <c r="H325" s="81">
        <f t="shared" si="4"/>
        <v>0</v>
      </c>
    </row>
    <row r="326" spans="1:8" s="2" customFormat="1" ht="36.75" customHeight="1" x14ac:dyDescent="0.2">
      <c r="A326" s="26" t="s">
        <v>950</v>
      </c>
      <c r="B326" s="26" t="s">
        <v>30</v>
      </c>
      <c r="C326" s="94" t="s">
        <v>1024</v>
      </c>
      <c r="D326" s="82" t="s">
        <v>951</v>
      </c>
      <c r="E326" s="85"/>
      <c r="F326" s="26" t="s">
        <v>433</v>
      </c>
      <c r="G326" s="96">
        <v>1.43</v>
      </c>
      <c r="H326" s="81">
        <f t="shared" si="4"/>
        <v>0</v>
      </c>
    </row>
    <row r="327" spans="1:8" s="2" customFormat="1" ht="36.75" customHeight="1" x14ac:dyDescent="0.2">
      <c r="A327" s="26" t="s">
        <v>320</v>
      </c>
      <c r="B327" s="26" t="s">
        <v>19</v>
      </c>
      <c r="C327" s="94" t="s">
        <v>993</v>
      </c>
      <c r="D327" s="82" t="s">
        <v>321</v>
      </c>
      <c r="E327" s="85"/>
      <c r="F327" s="26" t="s">
        <v>420</v>
      </c>
      <c r="G327" s="96">
        <v>22.11</v>
      </c>
      <c r="H327" s="81">
        <f t="shared" si="4"/>
        <v>0</v>
      </c>
    </row>
    <row r="328" spans="1:8" s="2" customFormat="1" ht="36.75" customHeight="1" x14ac:dyDescent="0.2">
      <c r="A328" s="26" t="s">
        <v>952</v>
      </c>
      <c r="B328" s="26" t="s">
        <v>30</v>
      </c>
      <c r="C328" s="94" t="s">
        <v>1030</v>
      </c>
      <c r="D328" s="82" t="s">
        <v>953</v>
      </c>
      <c r="E328" s="85"/>
      <c r="F328" s="26" t="s">
        <v>404</v>
      </c>
      <c r="G328" s="96">
        <v>1.43</v>
      </c>
      <c r="H328" s="81">
        <f t="shared" si="4"/>
        <v>0</v>
      </c>
    </row>
    <row r="329" spans="1:8" s="2" customFormat="1" ht="36.75" customHeight="1" x14ac:dyDescent="0.2">
      <c r="A329" s="26" t="s">
        <v>322</v>
      </c>
      <c r="B329" s="26" t="s">
        <v>45</v>
      </c>
      <c r="C329" s="94" t="s">
        <v>1024</v>
      </c>
      <c r="D329" s="82" t="s">
        <v>323</v>
      </c>
      <c r="E329" s="85"/>
      <c r="F329" s="26" t="s">
        <v>430</v>
      </c>
      <c r="G329" s="96">
        <v>2.86</v>
      </c>
      <c r="H329" s="81">
        <f t="shared" ref="H329:H387" si="5">E329*G329</f>
        <v>0</v>
      </c>
    </row>
    <row r="330" spans="1:8" s="2" customFormat="1" ht="36.75" customHeight="1" x14ac:dyDescent="0.2">
      <c r="A330" s="26" t="s">
        <v>324</v>
      </c>
      <c r="B330" s="26" t="s">
        <v>30</v>
      </c>
      <c r="C330" s="94" t="s">
        <v>1029</v>
      </c>
      <c r="D330" s="82" t="s">
        <v>325</v>
      </c>
      <c r="E330" s="85"/>
      <c r="F330" s="26" t="s">
        <v>433</v>
      </c>
      <c r="G330" s="96">
        <v>2.86</v>
      </c>
      <c r="H330" s="81">
        <f t="shared" si="5"/>
        <v>0</v>
      </c>
    </row>
    <row r="331" spans="1:8" s="2" customFormat="1" ht="36.75" customHeight="1" x14ac:dyDescent="0.2">
      <c r="A331" s="26" t="s">
        <v>451</v>
      </c>
      <c r="B331" s="26" t="s">
        <v>19</v>
      </c>
      <c r="C331" s="94" t="s">
        <v>1029</v>
      </c>
      <c r="D331" s="82" t="s">
        <v>454</v>
      </c>
      <c r="E331" s="85"/>
      <c r="F331" s="26" t="s">
        <v>400</v>
      </c>
      <c r="G331" s="96">
        <v>1.7</v>
      </c>
      <c r="H331" s="81">
        <f t="shared" si="5"/>
        <v>0</v>
      </c>
    </row>
    <row r="332" spans="1:8" s="2" customFormat="1" ht="36.75" customHeight="1" x14ac:dyDescent="0.2">
      <c r="A332" s="26" t="s">
        <v>326</v>
      </c>
      <c r="B332" s="26" t="s">
        <v>52</v>
      </c>
      <c r="C332" s="94" t="s">
        <v>1024</v>
      </c>
      <c r="D332" s="82" t="s">
        <v>327</v>
      </c>
      <c r="E332" s="85"/>
      <c r="F332" s="26" t="s">
        <v>444</v>
      </c>
      <c r="G332" s="96">
        <v>2.11</v>
      </c>
      <c r="H332" s="81">
        <f t="shared" si="5"/>
        <v>0</v>
      </c>
    </row>
    <row r="333" spans="1:8" s="2" customFormat="1" ht="36.75" customHeight="1" x14ac:dyDescent="0.2">
      <c r="A333" s="26" t="s">
        <v>328</v>
      </c>
      <c r="B333" s="26" t="s">
        <v>47</v>
      </c>
      <c r="C333" s="94" t="s">
        <v>1024</v>
      </c>
      <c r="D333" s="82" t="s">
        <v>329</v>
      </c>
      <c r="E333" s="85"/>
      <c r="F333" s="26" t="s">
        <v>411</v>
      </c>
      <c r="G333" s="96">
        <v>2.16</v>
      </c>
      <c r="H333" s="81">
        <f t="shared" si="5"/>
        <v>0</v>
      </c>
    </row>
    <row r="334" spans="1:8" s="2" customFormat="1" ht="36.75" customHeight="1" x14ac:dyDescent="0.2">
      <c r="A334" s="26" t="s">
        <v>1012</v>
      </c>
      <c r="B334" s="26" t="s">
        <v>65</v>
      </c>
      <c r="C334" s="94" t="s">
        <v>1024</v>
      </c>
      <c r="D334" s="82" t="s">
        <v>1013</v>
      </c>
      <c r="E334" s="85"/>
      <c r="F334" s="26" t="s">
        <v>399</v>
      </c>
      <c r="G334" s="96">
        <v>1.1499999999999999</v>
      </c>
      <c r="H334" s="81">
        <f t="shared" si="5"/>
        <v>0</v>
      </c>
    </row>
    <row r="335" spans="1:8" s="2" customFormat="1" ht="36.75" customHeight="1" x14ac:dyDescent="0.2">
      <c r="A335" s="26" t="s">
        <v>636</v>
      </c>
      <c r="B335" s="26" t="s">
        <v>30</v>
      </c>
      <c r="C335" s="94" t="s">
        <v>1029</v>
      </c>
      <c r="D335" s="82" t="s">
        <v>637</v>
      </c>
      <c r="E335" s="85"/>
      <c r="F335" s="26" t="s">
        <v>433</v>
      </c>
      <c r="G335" s="96">
        <v>3.71</v>
      </c>
      <c r="H335" s="81">
        <f t="shared" si="5"/>
        <v>0</v>
      </c>
    </row>
    <row r="336" spans="1:8" s="2" customFormat="1" ht="36.75" customHeight="1" x14ac:dyDescent="0.2">
      <c r="A336" s="26" t="s">
        <v>638</v>
      </c>
      <c r="B336" s="26" t="s">
        <v>19</v>
      </c>
      <c r="C336" s="94" t="s">
        <v>1029</v>
      </c>
      <c r="D336" s="82" t="s">
        <v>639</v>
      </c>
      <c r="E336" s="85"/>
      <c r="F336" s="26" t="s">
        <v>399</v>
      </c>
      <c r="G336" s="96">
        <v>1.46</v>
      </c>
      <c r="H336" s="81">
        <f t="shared" si="5"/>
        <v>0</v>
      </c>
    </row>
    <row r="337" spans="1:8" s="2" customFormat="1" ht="36.75" customHeight="1" x14ac:dyDescent="0.2">
      <c r="A337" s="26" t="s">
        <v>567</v>
      </c>
      <c r="B337" s="26" t="s">
        <v>19</v>
      </c>
      <c r="C337" s="94" t="s">
        <v>1029</v>
      </c>
      <c r="D337" s="82" t="s">
        <v>568</v>
      </c>
      <c r="E337" s="85"/>
      <c r="F337" s="26" t="s">
        <v>399</v>
      </c>
      <c r="G337" s="96">
        <v>2.23</v>
      </c>
      <c r="H337" s="81">
        <f t="shared" si="5"/>
        <v>0</v>
      </c>
    </row>
    <row r="338" spans="1:8" s="2" customFormat="1" ht="36.75" customHeight="1" x14ac:dyDescent="0.2">
      <c r="A338" s="26" t="s">
        <v>640</v>
      </c>
      <c r="B338" s="26" t="s">
        <v>43</v>
      </c>
      <c r="C338" s="94" t="s">
        <v>1024</v>
      </c>
      <c r="D338" s="82" t="s">
        <v>641</v>
      </c>
      <c r="E338" s="85"/>
      <c r="F338" s="26" t="s">
        <v>430</v>
      </c>
      <c r="G338" s="96">
        <v>13.3</v>
      </c>
      <c r="H338" s="81">
        <f t="shared" si="5"/>
        <v>0</v>
      </c>
    </row>
    <row r="339" spans="1:8" s="2" customFormat="1" ht="36.75" customHeight="1" x14ac:dyDescent="0.2">
      <c r="A339" s="26" t="s">
        <v>843</v>
      </c>
      <c r="B339" s="26" t="s">
        <v>30</v>
      </c>
      <c r="C339" s="94" t="s">
        <v>1029</v>
      </c>
      <c r="D339" s="82" t="s">
        <v>851</v>
      </c>
      <c r="E339" s="87"/>
      <c r="F339" s="26" t="s">
        <v>397</v>
      </c>
      <c r="G339" s="96">
        <v>4.59</v>
      </c>
      <c r="H339" s="81">
        <f t="shared" si="5"/>
        <v>0</v>
      </c>
    </row>
    <row r="340" spans="1:8" s="2" customFormat="1" ht="36.75" customHeight="1" x14ac:dyDescent="0.2">
      <c r="A340" s="26" t="s">
        <v>330</v>
      </c>
      <c r="B340" s="26" t="s">
        <v>30</v>
      </c>
      <c r="C340" s="94" t="s">
        <v>1024</v>
      </c>
      <c r="D340" s="82" t="s">
        <v>824</v>
      </c>
      <c r="E340" s="85"/>
      <c r="F340" s="26" t="s">
        <v>436</v>
      </c>
      <c r="G340" s="96">
        <v>9.19</v>
      </c>
      <c r="H340" s="81">
        <f t="shared" si="5"/>
        <v>0</v>
      </c>
    </row>
    <row r="341" spans="1:8" s="2" customFormat="1" ht="36.75" customHeight="1" x14ac:dyDescent="0.2">
      <c r="A341" s="26" t="s">
        <v>331</v>
      </c>
      <c r="B341" s="26" t="s">
        <v>57</v>
      </c>
      <c r="C341" s="94" t="s">
        <v>993</v>
      </c>
      <c r="D341" s="82" t="s">
        <v>332</v>
      </c>
      <c r="E341" s="85"/>
      <c r="F341" s="26" t="s">
        <v>417</v>
      </c>
      <c r="G341" s="96">
        <v>0.11</v>
      </c>
      <c r="H341" s="81">
        <f t="shared" si="5"/>
        <v>0</v>
      </c>
    </row>
    <row r="342" spans="1:8" s="2" customFormat="1" ht="36.75" customHeight="1" x14ac:dyDescent="0.2">
      <c r="A342" s="26" t="s">
        <v>333</v>
      </c>
      <c r="B342" s="26" t="s">
        <v>51</v>
      </c>
      <c r="C342" s="94" t="s">
        <v>1024</v>
      </c>
      <c r="D342" s="82" t="s">
        <v>334</v>
      </c>
      <c r="E342" s="85"/>
      <c r="F342" s="26" t="s">
        <v>408</v>
      </c>
      <c r="G342" s="96">
        <v>6.94</v>
      </c>
      <c r="H342" s="81">
        <f t="shared" si="5"/>
        <v>0</v>
      </c>
    </row>
    <row r="343" spans="1:8" s="2" customFormat="1" ht="36.75" customHeight="1" x14ac:dyDescent="0.2">
      <c r="A343" s="26" t="s">
        <v>335</v>
      </c>
      <c r="B343" s="26" t="s">
        <v>30</v>
      </c>
      <c r="C343" s="94" t="s">
        <v>1029</v>
      </c>
      <c r="D343" s="82" t="s">
        <v>336</v>
      </c>
      <c r="E343" s="85"/>
      <c r="F343" s="26" t="s">
        <v>403</v>
      </c>
      <c r="G343" s="96">
        <v>5.59</v>
      </c>
      <c r="H343" s="81">
        <f t="shared" si="5"/>
        <v>0</v>
      </c>
    </row>
    <row r="344" spans="1:8" s="2" customFormat="1" ht="36.75" customHeight="1" x14ac:dyDescent="0.2">
      <c r="A344" s="26" t="s">
        <v>642</v>
      </c>
      <c r="B344" s="26" t="s">
        <v>30</v>
      </c>
      <c r="C344" s="94" t="s">
        <v>1029</v>
      </c>
      <c r="D344" s="82" t="s">
        <v>643</v>
      </c>
      <c r="E344" s="85"/>
      <c r="F344" s="26" t="s">
        <v>403</v>
      </c>
      <c r="G344" s="96">
        <v>5.97</v>
      </c>
      <c r="H344" s="81">
        <f t="shared" si="5"/>
        <v>0</v>
      </c>
    </row>
    <row r="345" spans="1:8" s="2" customFormat="1" ht="36.75" customHeight="1" x14ac:dyDescent="0.2">
      <c r="A345" s="26" t="s">
        <v>337</v>
      </c>
      <c r="B345" s="26" t="s">
        <v>40</v>
      </c>
      <c r="C345" s="94" t="s">
        <v>1029</v>
      </c>
      <c r="D345" s="82" t="s">
        <v>338</v>
      </c>
      <c r="E345" s="85"/>
      <c r="F345" s="26" t="s">
        <v>411</v>
      </c>
      <c r="G345" s="96">
        <v>1.86</v>
      </c>
      <c r="H345" s="81">
        <f t="shared" si="5"/>
        <v>0</v>
      </c>
    </row>
    <row r="346" spans="1:8" s="2" customFormat="1" ht="36.75" customHeight="1" x14ac:dyDescent="0.2">
      <c r="A346" s="26" t="s">
        <v>339</v>
      </c>
      <c r="B346" s="26" t="s">
        <v>60</v>
      </c>
      <c r="C346" s="94" t="s">
        <v>1029</v>
      </c>
      <c r="D346" s="82" t="s">
        <v>340</v>
      </c>
      <c r="E346" s="85"/>
      <c r="F346" s="26" t="s">
        <v>412</v>
      </c>
      <c r="G346" s="96">
        <v>3.43</v>
      </c>
      <c r="H346" s="81">
        <f t="shared" si="5"/>
        <v>0</v>
      </c>
    </row>
    <row r="347" spans="1:8" s="2" customFormat="1" ht="36.75" customHeight="1" x14ac:dyDescent="0.2">
      <c r="A347" s="26" t="s">
        <v>492</v>
      </c>
      <c r="B347" s="26" t="s">
        <v>45</v>
      </c>
      <c r="C347" s="94" t="s">
        <v>1024</v>
      </c>
      <c r="D347" s="82" t="s">
        <v>493</v>
      </c>
      <c r="E347" s="85"/>
      <c r="F347" s="26" t="s">
        <v>439</v>
      </c>
      <c r="G347" s="96">
        <v>1.43</v>
      </c>
      <c r="H347" s="81">
        <f t="shared" si="5"/>
        <v>0</v>
      </c>
    </row>
    <row r="348" spans="1:8" s="2" customFormat="1" ht="36.75" customHeight="1" x14ac:dyDescent="0.2">
      <c r="A348" s="26" t="s">
        <v>677</v>
      </c>
      <c r="B348" s="26" t="s">
        <v>47</v>
      </c>
      <c r="C348" s="94" t="s">
        <v>1024</v>
      </c>
      <c r="D348" s="82" t="s">
        <v>678</v>
      </c>
      <c r="E348" s="85"/>
      <c r="F348" s="26" t="s">
        <v>400</v>
      </c>
      <c r="G348" s="96">
        <v>1.5</v>
      </c>
      <c r="H348" s="81">
        <f t="shared" si="5"/>
        <v>0</v>
      </c>
    </row>
    <row r="349" spans="1:8" s="2" customFormat="1" ht="36.75" customHeight="1" x14ac:dyDescent="0.2">
      <c r="A349" s="26" t="s">
        <v>341</v>
      </c>
      <c r="B349" s="26" t="s">
        <v>45</v>
      </c>
      <c r="C349" s="94" t="s">
        <v>1024</v>
      </c>
      <c r="D349" s="82" t="s">
        <v>342</v>
      </c>
      <c r="E349" s="85"/>
      <c r="F349" s="26" t="s">
        <v>409</v>
      </c>
      <c r="G349" s="96">
        <v>0.92</v>
      </c>
      <c r="H349" s="81">
        <f t="shared" si="5"/>
        <v>0</v>
      </c>
    </row>
    <row r="350" spans="1:8" s="2" customFormat="1" ht="36.75" customHeight="1" x14ac:dyDescent="0.2">
      <c r="A350" s="26" t="s">
        <v>735</v>
      </c>
      <c r="B350" s="26" t="s">
        <v>45</v>
      </c>
      <c r="C350" s="94" t="s">
        <v>1024</v>
      </c>
      <c r="D350" s="82" t="s">
        <v>736</v>
      </c>
      <c r="E350" s="85"/>
      <c r="F350" s="26" t="s">
        <v>498</v>
      </c>
      <c r="G350" s="96">
        <v>1.1399999999999999</v>
      </c>
      <c r="H350" s="81">
        <f t="shared" si="5"/>
        <v>0</v>
      </c>
    </row>
    <row r="351" spans="1:8" s="2" customFormat="1" ht="36.75" customHeight="1" x14ac:dyDescent="0.2">
      <c r="A351" s="26" t="s">
        <v>737</v>
      </c>
      <c r="B351" s="26" t="s">
        <v>36</v>
      </c>
      <c r="C351" s="94" t="s">
        <v>1024</v>
      </c>
      <c r="D351" s="82" t="s">
        <v>738</v>
      </c>
      <c r="E351" s="85"/>
      <c r="F351" s="26" t="s">
        <v>439</v>
      </c>
      <c r="G351" s="96">
        <v>1.71</v>
      </c>
      <c r="H351" s="81">
        <f t="shared" si="5"/>
        <v>0</v>
      </c>
    </row>
    <row r="352" spans="1:8" s="2" customFormat="1" ht="36.75" customHeight="1" x14ac:dyDescent="0.2">
      <c r="A352" s="26" t="s">
        <v>343</v>
      </c>
      <c r="B352" s="26" t="s">
        <v>43</v>
      </c>
      <c r="C352" s="94" t="s">
        <v>1024</v>
      </c>
      <c r="D352" s="82" t="s">
        <v>344</v>
      </c>
      <c r="E352" s="85"/>
      <c r="F352" s="26" t="s">
        <v>445</v>
      </c>
      <c r="G352" s="96">
        <v>1.37</v>
      </c>
      <c r="H352" s="81">
        <f t="shared" si="5"/>
        <v>0</v>
      </c>
    </row>
    <row r="353" spans="1:8" s="2" customFormat="1" ht="36.75" customHeight="1" x14ac:dyDescent="0.2">
      <c r="A353" s="26" t="s">
        <v>482</v>
      </c>
      <c r="B353" s="26" t="s">
        <v>99</v>
      </c>
      <c r="C353" s="94" t="s">
        <v>1029</v>
      </c>
      <c r="D353" s="82" t="s">
        <v>483</v>
      </c>
      <c r="E353" s="85"/>
      <c r="F353" s="26" t="s">
        <v>429</v>
      </c>
      <c r="G353" s="96">
        <v>9.27</v>
      </c>
      <c r="H353" s="81">
        <f t="shared" si="5"/>
        <v>0</v>
      </c>
    </row>
    <row r="354" spans="1:8" s="2" customFormat="1" ht="36.75" customHeight="1" x14ac:dyDescent="0.2">
      <c r="A354" s="26" t="s">
        <v>954</v>
      </c>
      <c r="B354" s="26" t="s">
        <v>99</v>
      </c>
      <c r="C354" s="94" t="s">
        <v>1024</v>
      </c>
      <c r="D354" s="82" t="s">
        <v>955</v>
      </c>
      <c r="E354" s="85"/>
      <c r="F354" s="26" t="s">
        <v>417</v>
      </c>
      <c r="G354" s="96">
        <v>0.61</v>
      </c>
      <c r="H354" s="81">
        <f t="shared" si="5"/>
        <v>0</v>
      </c>
    </row>
    <row r="355" spans="1:8" s="2" customFormat="1" ht="36.75" customHeight="1" x14ac:dyDescent="0.2">
      <c r="A355" s="26" t="s">
        <v>516</v>
      </c>
      <c r="B355" s="26" t="s">
        <v>52</v>
      </c>
      <c r="C355" s="94" t="s">
        <v>1024</v>
      </c>
      <c r="D355" s="82" t="s">
        <v>517</v>
      </c>
      <c r="E355" s="85"/>
      <c r="F355" s="26" t="s">
        <v>520</v>
      </c>
      <c r="G355" s="96">
        <v>2.86</v>
      </c>
      <c r="H355" s="81">
        <f t="shared" si="5"/>
        <v>0</v>
      </c>
    </row>
    <row r="356" spans="1:8" s="2" customFormat="1" ht="36.75" customHeight="1" x14ac:dyDescent="0.2">
      <c r="A356" s="26" t="s">
        <v>345</v>
      </c>
      <c r="B356" s="26" t="s">
        <v>25</v>
      </c>
      <c r="C356" s="94" t="s">
        <v>1027</v>
      </c>
      <c r="D356" s="82" t="s">
        <v>346</v>
      </c>
      <c r="E356" s="85"/>
      <c r="F356" s="26" t="s">
        <v>403</v>
      </c>
      <c r="G356" s="96">
        <v>4.55</v>
      </c>
      <c r="H356" s="81">
        <f t="shared" si="5"/>
        <v>0</v>
      </c>
    </row>
    <row r="357" spans="1:8" s="2" customFormat="1" ht="36.75" customHeight="1" x14ac:dyDescent="0.2">
      <c r="A357" s="26" t="s">
        <v>347</v>
      </c>
      <c r="B357" s="26" t="s">
        <v>25</v>
      </c>
      <c r="C357" s="94" t="s">
        <v>1027</v>
      </c>
      <c r="D357" s="82" t="s">
        <v>348</v>
      </c>
      <c r="E357" s="85"/>
      <c r="F357" s="26" t="s">
        <v>411</v>
      </c>
      <c r="G357" s="96">
        <v>5.08</v>
      </c>
      <c r="H357" s="81">
        <f t="shared" si="5"/>
        <v>0</v>
      </c>
    </row>
    <row r="358" spans="1:8" s="2" customFormat="1" ht="36.75" customHeight="1" x14ac:dyDescent="0.2">
      <c r="A358" s="26" t="s">
        <v>679</v>
      </c>
      <c r="B358" s="26" t="s">
        <v>680</v>
      </c>
      <c r="C358" s="94" t="s">
        <v>993</v>
      </c>
      <c r="D358" s="82" t="s">
        <v>681</v>
      </c>
      <c r="E358" s="85"/>
      <c r="F358" s="26" t="s">
        <v>407</v>
      </c>
      <c r="G358" s="96">
        <v>6.38</v>
      </c>
      <c r="H358" s="81">
        <f t="shared" si="5"/>
        <v>0</v>
      </c>
    </row>
    <row r="359" spans="1:8" s="2" customFormat="1" ht="36.75" customHeight="1" x14ac:dyDescent="0.2">
      <c r="A359" s="26" t="s">
        <v>682</v>
      </c>
      <c r="B359" s="26" t="s">
        <v>680</v>
      </c>
      <c r="C359" s="94" t="s">
        <v>993</v>
      </c>
      <c r="D359" s="82" t="s">
        <v>683</v>
      </c>
      <c r="E359" s="85"/>
      <c r="F359" s="26" t="s">
        <v>407</v>
      </c>
      <c r="G359" s="96">
        <v>5.92</v>
      </c>
      <c r="H359" s="81">
        <f t="shared" si="5"/>
        <v>0</v>
      </c>
    </row>
    <row r="360" spans="1:8" s="2" customFormat="1" ht="36.75" customHeight="1" x14ac:dyDescent="0.2">
      <c r="A360" s="26" t="s">
        <v>684</v>
      </c>
      <c r="B360" s="26" t="s">
        <v>680</v>
      </c>
      <c r="C360" s="94" t="s">
        <v>993</v>
      </c>
      <c r="D360" s="82" t="s">
        <v>685</v>
      </c>
      <c r="E360" s="85"/>
      <c r="F360" s="26" t="s">
        <v>407</v>
      </c>
      <c r="G360" s="96">
        <v>6.58</v>
      </c>
      <c r="H360" s="81">
        <f t="shared" si="5"/>
        <v>0</v>
      </c>
    </row>
    <row r="361" spans="1:8" s="2" customFormat="1" ht="36.75" customHeight="1" x14ac:dyDescent="0.2">
      <c r="A361" s="38" t="s">
        <v>349</v>
      </c>
      <c r="B361" s="38" t="s">
        <v>16</v>
      </c>
      <c r="C361" s="93" t="s">
        <v>995</v>
      </c>
      <c r="D361" s="88" t="s">
        <v>350</v>
      </c>
      <c r="E361" s="89"/>
      <c r="F361" s="38" t="s">
        <v>406</v>
      </c>
      <c r="G361" s="96">
        <v>7.02</v>
      </c>
      <c r="H361" s="39">
        <f t="shared" si="5"/>
        <v>0</v>
      </c>
    </row>
    <row r="362" spans="1:8" s="2" customFormat="1" ht="36.75" customHeight="1" x14ac:dyDescent="0.2">
      <c r="A362" s="38" t="s">
        <v>351</v>
      </c>
      <c r="B362" s="38" t="s">
        <v>16</v>
      </c>
      <c r="C362" s="93" t="s">
        <v>995</v>
      </c>
      <c r="D362" s="88" t="s">
        <v>352</v>
      </c>
      <c r="E362" s="89"/>
      <c r="F362" s="38" t="s">
        <v>399</v>
      </c>
      <c r="G362" s="96">
        <v>5.9</v>
      </c>
      <c r="H362" s="39">
        <f t="shared" si="5"/>
        <v>0</v>
      </c>
    </row>
    <row r="363" spans="1:8" s="2" customFormat="1" ht="36.75" customHeight="1" x14ac:dyDescent="0.2">
      <c r="A363" s="26" t="s">
        <v>353</v>
      </c>
      <c r="B363" s="26" t="s">
        <v>36</v>
      </c>
      <c r="C363" s="94" t="s">
        <v>1024</v>
      </c>
      <c r="D363" s="82" t="s">
        <v>354</v>
      </c>
      <c r="E363" s="85"/>
      <c r="F363" s="26" t="s">
        <v>446</v>
      </c>
      <c r="G363" s="96">
        <v>4.24</v>
      </c>
      <c r="H363" s="81">
        <f t="shared" si="5"/>
        <v>0</v>
      </c>
    </row>
    <row r="364" spans="1:8" s="2" customFormat="1" ht="36.75" customHeight="1" x14ac:dyDescent="0.2">
      <c r="A364" s="26" t="s">
        <v>644</v>
      </c>
      <c r="B364" s="26" t="s">
        <v>645</v>
      </c>
      <c r="C364" s="94" t="s">
        <v>1029</v>
      </c>
      <c r="D364" s="82" t="s">
        <v>646</v>
      </c>
      <c r="E364" s="85"/>
      <c r="F364" s="26" t="s">
        <v>400</v>
      </c>
      <c r="G364" s="96">
        <v>4.5</v>
      </c>
      <c r="H364" s="81">
        <f t="shared" si="5"/>
        <v>0</v>
      </c>
    </row>
    <row r="365" spans="1:8" s="2" customFormat="1" ht="36.75" customHeight="1" x14ac:dyDescent="0.2">
      <c r="A365" s="26" t="s">
        <v>759</v>
      </c>
      <c r="B365" s="26" t="s">
        <v>754</v>
      </c>
      <c r="C365" s="94" t="s">
        <v>993</v>
      </c>
      <c r="D365" s="82" t="s">
        <v>760</v>
      </c>
      <c r="E365" s="85"/>
      <c r="F365" s="26" t="s">
        <v>420</v>
      </c>
      <c r="G365" s="96">
        <v>3.2</v>
      </c>
      <c r="H365" s="81">
        <f t="shared" si="5"/>
        <v>0</v>
      </c>
    </row>
    <row r="366" spans="1:8" s="2" customFormat="1" ht="36.75" customHeight="1" x14ac:dyDescent="0.2">
      <c r="A366" s="26" t="s">
        <v>761</v>
      </c>
      <c r="B366" s="26" t="s">
        <v>754</v>
      </c>
      <c r="C366" s="94" t="s">
        <v>993</v>
      </c>
      <c r="D366" s="82" t="s">
        <v>762</v>
      </c>
      <c r="E366" s="85"/>
      <c r="F366" s="26" t="s">
        <v>420</v>
      </c>
      <c r="G366" s="96">
        <v>4.4400000000000004</v>
      </c>
      <c r="H366" s="81">
        <f t="shared" si="5"/>
        <v>0</v>
      </c>
    </row>
    <row r="367" spans="1:8" s="2" customFormat="1" ht="36.75" customHeight="1" x14ac:dyDescent="0.2">
      <c r="A367" s="26" t="s">
        <v>355</v>
      </c>
      <c r="B367" s="26" t="s">
        <v>40</v>
      </c>
      <c r="C367" s="94" t="s">
        <v>1024</v>
      </c>
      <c r="D367" s="82" t="s">
        <v>356</v>
      </c>
      <c r="E367" s="85"/>
      <c r="F367" s="26" t="s">
        <v>406</v>
      </c>
      <c r="G367" s="96">
        <v>1.1100000000000001</v>
      </c>
      <c r="H367" s="81">
        <f t="shared" si="5"/>
        <v>0</v>
      </c>
    </row>
    <row r="368" spans="1:8" s="2" customFormat="1" ht="36.75" customHeight="1" x14ac:dyDescent="0.2">
      <c r="A368" s="26" t="s">
        <v>508</v>
      </c>
      <c r="B368" s="26" t="s">
        <v>19</v>
      </c>
      <c r="C368" s="94" t="s">
        <v>1029</v>
      </c>
      <c r="D368" s="82" t="s">
        <v>769</v>
      </c>
      <c r="E368" s="85"/>
      <c r="F368" s="26" t="s">
        <v>429</v>
      </c>
      <c r="G368" s="96">
        <v>7.46</v>
      </c>
      <c r="H368" s="81">
        <f t="shared" si="5"/>
        <v>0</v>
      </c>
    </row>
    <row r="369" spans="1:8" s="2" customFormat="1" ht="36.75" customHeight="1" x14ac:dyDescent="0.2">
      <c r="A369" s="26" t="s">
        <v>873</v>
      </c>
      <c r="B369" s="26" t="s">
        <v>57</v>
      </c>
      <c r="C369" s="94" t="s">
        <v>993</v>
      </c>
      <c r="D369" s="82" t="s">
        <v>985</v>
      </c>
      <c r="E369" s="85"/>
      <c r="F369" s="26" t="s">
        <v>426</v>
      </c>
      <c r="G369" s="96">
        <v>0.2</v>
      </c>
      <c r="H369" s="81">
        <f t="shared" si="5"/>
        <v>0</v>
      </c>
    </row>
    <row r="370" spans="1:8" s="2" customFormat="1" ht="36.75" customHeight="1" x14ac:dyDescent="0.2">
      <c r="A370" s="26" t="s">
        <v>973</v>
      </c>
      <c r="B370" s="26" t="s">
        <v>30</v>
      </c>
      <c r="C370" s="94" t="s">
        <v>993</v>
      </c>
      <c r="D370" s="82" t="s">
        <v>986</v>
      </c>
      <c r="E370" s="85"/>
      <c r="F370" s="26" t="s">
        <v>528</v>
      </c>
      <c r="G370" s="96">
        <v>0.11</v>
      </c>
      <c r="H370" s="81">
        <f t="shared" si="5"/>
        <v>0</v>
      </c>
    </row>
    <row r="371" spans="1:8" s="2" customFormat="1" ht="36.75" customHeight="1" x14ac:dyDescent="0.2">
      <c r="A371" s="26" t="s">
        <v>357</v>
      </c>
      <c r="B371" s="26" t="s">
        <v>57</v>
      </c>
      <c r="C371" s="94" t="s">
        <v>993</v>
      </c>
      <c r="D371" s="82" t="s">
        <v>358</v>
      </c>
      <c r="E371" s="85"/>
      <c r="F371" s="26" t="s">
        <v>417</v>
      </c>
      <c r="G371" s="96">
        <v>0.1</v>
      </c>
      <c r="H371" s="81">
        <f t="shared" si="5"/>
        <v>0</v>
      </c>
    </row>
    <row r="372" spans="1:8" s="2" customFormat="1" ht="36.75" customHeight="1" x14ac:dyDescent="0.2">
      <c r="A372" s="26" t="s">
        <v>494</v>
      </c>
      <c r="B372" s="26" t="s">
        <v>43</v>
      </c>
      <c r="C372" s="94" t="s">
        <v>1024</v>
      </c>
      <c r="D372" s="82" t="s">
        <v>495</v>
      </c>
      <c r="E372" s="85"/>
      <c r="F372" s="26" t="s">
        <v>410</v>
      </c>
      <c r="G372" s="96">
        <v>9.4600000000000009</v>
      </c>
      <c r="H372" s="81">
        <f t="shared" si="5"/>
        <v>0</v>
      </c>
    </row>
    <row r="373" spans="1:8" s="2" customFormat="1" ht="36.75" customHeight="1" x14ac:dyDescent="0.2">
      <c r="A373" s="26" t="s">
        <v>359</v>
      </c>
      <c r="B373" s="26" t="s">
        <v>43</v>
      </c>
      <c r="C373" s="94" t="s">
        <v>1030</v>
      </c>
      <c r="D373" s="82" t="s">
        <v>360</v>
      </c>
      <c r="E373" s="85"/>
      <c r="F373" s="26" t="s">
        <v>424</v>
      </c>
      <c r="G373" s="96">
        <v>7.66</v>
      </c>
      <c r="H373" s="81">
        <f t="shared" si="5"/>
        <v>0</v>
      </c>
    </row>
    <row r="374" spans="1:8" s="2" customFormat="1" ht="36.75" customHeight="1" x14ac:dyDescent="0.2">
      <c r="A374" s="26" t="s">
        <v>361</v>
      </c>
      <c r="B374" s="26" t="s">
        <v>30</v>
      </c>
      <c r="C374" s="94" t="s">
        <v>1029</v>
      </c>
      <c r="D374" s="82" t="s">
        <v>362</v>
      </c>
      <c r="E374" s="85"/>
      <c r="F374" s="26" t="s">
        <v>433</v>
      </c>
      <c r="G374" s="96">
        <v>1.51</v>
      </c>
      <c r="H374" s="81">
        <f t="shared" si="5"/>
        <v>0</v>
      </c>
    </row>
    <row r="375" spans="1:8" s="2" customFormat="1" ht="36.75" customHeight="1" x14ac:dyDescent="0.2">
      <c r="A375" s="26" t="s">
        <v>825</v>
      </c>
      <c r="B375" s="26" t="s">
        <v>19</v>
      </c>
      <c r="C375" s="94" t="s">
        <v>1027</v>
      </c>
      <c r="D375" s="82" t="s">
        <v>826</v>
      </c>
      <c r="E375" s="85"/>
      <c r="F375" s="26" t="s">
        <v>429</v>
      </c>
      <c r="G375" s="96">
        <v>1.46</v>
      </c>
      <c r="H375" s="81">
        <f t="shared" si="5"/>
        <v>0</v>
      </c>
    </row>
    <row r="376" spans="1:8" s="2" customFormat="1" ht="36.75" customHeight="1" x14ac:dyDescent="0.2">
      <c r="A376" s="26" t="s">
        <v>827</v>
      </c>
      <c r="B376" s="26" t="s">
        <v>19</v>
      </c>
      <c r="C376" s="94" t="s">
        <v>1029</v>
      </c>
      <c r="D376" s="82" t="s">
        <v>828</v>
      </c>
      <c r="E376" s="85"/>
      <c r="F376" s="26" t="s">
        <v>404</v>
      </c>
      <c r="G376" s="96">
        <v>4.71</v>
      </c>
      <c r="H376" s="81">
        <f t="shared" si="5"/>
        <v>0</v>
      </c>
    </row>
    <row r="377" spans="1:8" s="2" customFormat="1" ht="36.75" customHeight="1" x14ac:dyDescent="0.2">
      <c r="A377" s="26" t="s">
        <v>363</v>
      </c>
      <c r="B377" s="26" t="s">
        <v>23</v>
      </c>
      <c r="C377" s="94" t="s">
        <v>1029</v>
      </c>
      <c r="D377" s="82" t="s">
        <v>364</v>
      </c>
      <c r="E377" s="85"/>
      <c r="F377" s="26" t="s">
        <v>405</v>
      </c>
      <c r="G377" s="96">
        <v>1.43</v>
      </c>
      <c r="H377" s="81">
        <f t="shared" si="5"/>
        <v>0</v>
      </c>
    </row>
    <row r="378" spans="1:8" s="2" customFormat="1" ht="36.75" customHeight="1" x14ac:dyDescent="0.2">
      <c r="A378" s="26" t="s">
        <v>484</v>
      </c>
      <c r="B378" s="26" t="s">
        <v>41</v>
      </c>
      <c r="C378" s="94" t="s">
        <v>1025</v>
      </c>
      <c r="D378" s="82" t="s">
        <v>485</v>
      </c>
      <c r="E378" s="85"/>
      <c r="F378" s="26" t="s">
        <v>409</v>
      </c>
      <c r="G378" s="96">
        <v>2.8</v>
      </c>
      <c r="H378" s="81">
        <f t="shared" si="5"/>
        <v>0</v>
      </c>
    </row>
    <row r="379" spans="1:8" s="2" customFormat="1" ht="36.75" customHeight="1" x14ac:dyDescent="0.2">
      <c r="A379" s="26" t="s">
        <v>739</v>
      </c>
      <c r="B379" s="26" t="s">
        <v>45</v>
      </c>
      <c r="C379" s="94" t="s">
        <v>1024</v>
      </c>
      <c r="D379" s="82" t="s">
        <v>740</v>
      </c>
      <c r="E379" s="85"/>
      <c r="F379" s="26" t="s">
        <v>439</v>
      </c>
      <c r="G379" s="96">
        <v>7.14</v>
      </c>
      <c r="H379" s="81">
        <f t="shared" si="5"/>
        <v>0</v>
      </c>
    </row>
    <row r="380" spans="1:8" s="2" customFormat="1" ht="36.75" customHeight="1" x14ac:dyDescent="0.2">
      <c r="A380" s="38" t="s">
        <v>974</v>
      </c>
      <c r="B380" s="38" t="s">
        <v>16</v>
      </c>
      <c r="C380" s="93" t="s">
        <v>995</v>
      </c>
      <c r="D380" s="88" t="s">
        <v>987</v>
      </c>
      <c r="E380" s="89"/>
      <c r="F380" s="38" t="s">
        <v>415</v>
      </c>
      <c r="G380" s="96">
        <v>11.83</v>
      </c>
      <c r="H380" s="39">
        <f t="shared" si="5"/>
        <v>0</v>
      </c>
    </row>
    <row r="381" spans="1:8" s="2" customFormat="1" ht="36.75" customHeight="1" x14ac:dyDescent="0.2">
      <c r="A381" s="26" t="s">
        <v>874</v>
      </c>
      <c r="B381" s="26" t="s">
        <v>864</v>
      </c>
      <c r="C381" s="94" t="s">
        <v>993</v>
      </c>
      <c r="D381" s="82" t="s">
        <v>875</v>
      </c>
      <c r="E381" s="85"/>
      <c r="F381" s="26" t="s">
        <v>876</v>
      </c>
      <c r="G381" s="96">
        <v>1.23</v>
      </c>
      <c r="H381" s="81">
        <f t="shared" si="5"/>
        <v>0</v>
      </c>
    </row>
    <row r="382" spans="1:8" s="2" customFormat="1" ht="36.75" customHeight="1" x14ac:dyDescent="0.2">
      <c r="A382" s="26" t="s">
        <v>365</v>
      </c>
      <c r="B382" s="26" t="s">
        <v>30</v>
      </c>
      <c r="C382" s="94" t="s">
        <v>1029</v>
      </c>
      <c r="D382" s="82" t="s">
        <v>366</v>
      </c>
      <c r="E382" s="85"/>
      <c r="F382" s="26" t="s">
        <v>410</v>
      </c>
      <c r="G382" s="96">
        <v>3</v>
      </c>
      <c r="H382" s="81">
        <f t="shared" si="5"/>
        <v>0</v>
      </c>
    </row>
    <row r="383" spans="1:8" s="2" customFormat="1" ht="36.75" customHeight="1" x14ac:dyDescent="0.2">
      <c r="A383" s="26" t="s">
        <v>560</v>
      </c>
      <c r="B383" s="26" t="s">
        <v>30</v>
      </c>
      <c r="C383" s="94" t="s">
        <v>1029</v>
      </c>
      <c r="D383" s="82" t="s">
        <v>561</v>
      </c>
      <c r="E383" s="85"/>
      <c r="F383" s="26" t="s">
        <v>410</v>
      </c>
      <c r="G383" s="96">
        <v>2.76</v>
      </c>
      <c r="H383" s="81">
        <f t="shared" si="5"/>
        <v>0</v>
      </c>
    </row>
    <row r="384" spans="1:8" s="2" customFormat="1" ht="36.75" customHeight="1" x14ac:dyDescent="0.2">
      <c r="A384" s="38" t="s">
        <v>898</v>
      </c>
      <c r="B384" s="38" t="s">
        <v>58</v>
      </c>
      <c r="C384" s="93" t="s">
        <v>1026</v>
      </c>
      <c r="D384" s="88" t="s">
        <v>899</v>
      </c>
      <c r="E384" s="89"/>
      <c r="F384" s="38" t="s">
        <v>410</v>
      </c>
      <c r="G384" s="96">
        <v>3.67</v>
      </c>
      <c r="H384" s="39">
        <f t="shared" si="5"/>
        <v>0</v>
      </c>
    </row>
    <row r="385" spans="1:8" s="2" customFormat="1" ht="36.75" customHeight="1" x14ac:dyDescent="0.2">
      <c r="A385" s="26" t="s">
        <v>367</v>
      </c>
      <c r="B385" s="26" t="s">
        <v>41</v>
      </c>
      <c r="C385" s="94" t="s">
        <v>1029</v>
      </c>
      <c r="D385" s="82" t="s">
        <v>368</v>
      </c>
      <c r="E385" s="85"/>
      <c r="F385" s="26" t="s">
        <v>403</v>
      </c>
      <c r="G385" s="96">
        <v>3</v>
      </c>
      <c r="H385" s="81">
        <f t="shared" si="5"/>
        <v>0</v>
      </c>
    </row>
    <row r="386" spans="1:8" s="2" customFormat="1" ht="36.75" customHeight="1" x14ac:dyDescent="0.2">
      <c r="A386" s="26" t="s">
        <v>369</v>
      </c>
      <c r="B386" s="26" t="s">
        <v>30</v>
      </c>
      <c r="C386" s="94" t="s">
        <v>1027</v>
      </c>
      <c r="D386" s="82" t="s">
        <v>370</v>
      </c>
      <c r="E386" s="85"/>
      <c r="F386" s="26" t="s">
        <v>410</v>
      </c>
      <c r="G386" s="96">
        <v>5.51</v>
      </c>
      <c r="H386" s="81">
        <f t="shared" si="5"/>
        <v>0</v>
      </c>
    </row>
    <row r="387" spans="1:8" s="2" customFormat="1" ht="36.75" customHeight="1" x14ac:dyDescent="0.2">
      <c r="A387" s="26" t="s">
        <v>844</v>
      </c>
      <c r="B387" s="26" t="s">
        <v>52</v>
      </c>
      <c r="C387" s="94" t="s">
        <v>1024</v>
      </c>
      <c r="D387" s="82" t="s">
        <v>852</v>
      </c>
      <c r="E387" s="85"/>
      <c r="F387" s="26" t="s">
        <v>853</v>
      </c>
      <c r="G387" s="96">
        <v>0.84</v>
      </c>
      <c r="H387" s="81">
        <f t="shared" si="5"/>
        <v>0</v>
      </c>
    </row>
    <row r="388" spans="1:8" s="2" customFormat="1" ht="36.75" customHeight="1" x14ac:dyDescent="0.2">
      <c r="A388" s="26" t="s">
        <v>518</v>
      </c>
      <c r="B388" s="26" t="s">
        <v>65</v>
      </c>
      <c r="C388" s="94" t="s">
        <v>1024</v>
      </c>
      <c r="D388" s="82" t="s">
        <v>519</v>
      </c>
      <c r="E388" s="85"/>
      <c r="F388" s="26" t="s">
        <v>397</v>
      </c>
      <c r="G388" s="96">
        <v>0.77</v>
      </c>
      <c r="H388" s="81">
        <f t="shared" ref="H388:H448" si="6">E388*G388</f>
        <v>0</v>
      </c>
    </row>
    <row r="389" spans="1:8" s="2" customFormat="1" ht="36.75" customHeight="1" x14ac:dyDescent="0.2">
      <c r="A389" s="26" t="s">
        <v>763</v>
      </c>
      <c r="B389" s="26" t="s">
        <v>754</v>
      </c>
      <c r="C389" s="94" t="s">
        <v>993</v>
      </c>
      <c r="D389" s="82" t="s">
        <v>794</v>
      </c>
      <c r="E389" s="85"/>
      <c r="F389" s="26" t="s">
        <v>420</v>
      </c>
      <c r="G389" s="96">
        <v>0.13</v>
      </c>
      <c r="H389" s="81">
        <f t="shared" si="6"/>
        <v>0</v>
      </c>
    </row>
    <row r="390" spans="1:8" s="2" customFormat="1" ht="36.75" customHeight="1" x14ac:dyDescent="0.2">
      <c r="A390" s="26" t="s">
        <v>764</v>
      </c>
      <c r="B390" s="26" t="s">
        <v>754</v>
      </c>
      <c r="C390" s="94" t="s">
        <v>993</v>
      </c>
      <c r="D390" s="82" t="s">
        <v>765</v>
      </c>
      <c r="E390" s="85"/>
      <c r="F390" s="26" t="s">
        <v>420</v>
      </c>
      <c r="G390" s="96">
        <v>0.24</v>
      </c>
      <c r="H390" s="81">
        <f t="shared" si="6"/>
        <v>0</v>
      </c>
    </row>
    <row r="391" spans="1:8" s="2" customFormat="1" ht="36.75" customHeight="1" x14ac:dyDescent="0.2">
      <c r="A391" s="26" t="s">
        <v>371</v>
      </c>
      <c r="B391" s="26" t="s">
        <v>40</v>
      </c>
      <c r="C391" s="94" t="s">
        <v>1029</v>
      </c>
      <c r="D391" s="82" t="s">
        <v>372</v>
      </c>
      <c r="E391" s="85"/>
      <c r="F391" s="26" t="s">
        <v>404</v>
      </c>
      <c r="G391" s="96">
        <v>7.57</v>
      </c>
      <c r="H391" s="81">
        <f t="shared" si="6"/>
        <v>0</v>
      </c>
    </row>
    <row r="392" spans="1:8" s="2" customFormat="1" ht="36.75" customHeight="1" x14ac:dyDescent="0.2">
      <c r="A392" s="26" t="s">
        <v>373</v>
      </c>
      <c r="B392" s="26" t="s">
        <v>19</v>
      </c>
      <c r="C392" s="94" t="s">
        <v>1029</v>
      </c>
      <c r="D392" s="82" t="s">
        <v>374</v>
      </c>
      <c r="E392" s="85"/>
      <c r="F392" s="26" t="s">
        <v>405</v>
      </c>
      <c r="G392" s="96">
        <v>2.87</v>
      </c>
      <c r="H392" s="81">
        <f t="shared" si="6"/>
        <v>0</v>
      </c>
    </row>
    <row r="393" spans="1:8" s="2" customFormat="1" ht="36.75" customHeight="1" x14ac:dyDescent="0.2">
      <c r="A393" s="26" t="s">
        <v>829</v>
      </c>
      <c r="B393" s="26" t="s">
        <v>19</v>
      </c>
      <c r="C393" s="94" t="s">
        <v>1029</v>
      </c>
      <c r="D393" s="82" t="s">
        <v>830</v>
      </c>
      <c r="E393" s="85"/>
      <c r="F393" s="26" t="s">
        <v>405</v>
      </c>
      <c r="G393" s="96">
        <v>4.67</v>
      </c>
      <c r="H393" s="81">
        <f t="shared" si="6"/>
        <v>0</v>
      </c>
    </row>
    <row r="394" spans="1:8" s="2" customFormat="1" ht="36.75" customHeight="1" x14ac:dyDescent="0.2">
      <c r="A394" s="26" t="s">
        <v>647</v>
      </c>
      <c r="B394" s="26" t="s">
        <v>43</v>
      </c>
      <c r="C394" s="94" t="s">
        <v>997</v>
      </c>
      <c r="D394" s="82" t="s">
        <v>648</v>
      </c>
      <c r="E394" s="85"/>
      <c r="F394" s="26" t="s">
        <v>410</v>
      </c>
      <c r="G394" s="96">
        <v>5.91</v>
      </c>
      <c r="H394" s="81">
        <f t="shared" si="6"/>
        <v>0</v>
      </c>
    </row>
    <row r="395" spans="1:8" s="2" customFormat="1" ht="36.75" customHeight="1" x14ac:dyDescent="0.2">
      <c r="A395" s="26" t="s">
        <v>957</v>
      </c>
      <c r="B395" s="26" t="s">
        <v>30</v>
      </c>
      <c r="C395" s="94" t="s">
        <v>997</v>
      </c>
      <c r="D395" s="82" t="s">
        <v>958</v>
      </c>
      <c r="E395" s="85"/>
      <c r="F395" s="26" t="s">
        <v>408</v>
      </c>
      <c r="G395" s="96">
        <v>4.41</v>
      </c>
      <c r="H395" s="81">
        <f t="shared" si="6"/>
        <v>0</v>
      </c>
    </row>
    <row r="396" spans="1:8" s="2" customFormat="1" ht="36.75" customHeight="1" x14ac:dyDescent="0.2">
      <c r="A396" s="26" t="s">
        <v>959</v>
      </c>
      <c r="B396" s="26" t="s">
        <v>30</v>
      </c>
      <c r="C396" s="94" t="s">
        <v>992</v>
      </c>
      <c r="D396" s="82" t="s">
        <v>960</v>
      </c>
      <c r="E396" s="85"/>
      <c r="F396" s="26" t="s">
        <v>476</v>
      </c>
      <c r="G396" s="96">
        <v>0.56999999999999995</v>
      </c>
      <c r="H396" s="81">
        <f t="shared" si="6"/>
        <v>0</v>
      </c>
    </row>
    <row r="397" spans="1:8" s="2" customFormat="1" ht="36.75" customHeight="1" x14ac:dyDescent="0.2">
      <c r="A397" s="26" t="s">
        <v>375</v>
      </c>
      <c r="B397" s="26" t="s">
        <v>30</v>
      </c>
      <c r="C397" s="94" t="s">
        <v>1027</v>
      </c>
      <c r="D397" s="82" t="s">
        <v>376</v>
      </c>
      <c r="E397" s="85"/>
      <c r="F397" s="26" t="s">
        <v>418</v>
      </c>
      <c r="G397" s="96">
        <v>2.2999999999999998</v>
      </c>
      <c r="H397" s="81">
        <f t="shared" si="6"/>
        <v>0</v>
      </c>
    </row>
    <row r="398" spans="1:8" s="2" customFormat="1" ht="36.75" customHeight="1" x14ac:dyDescent="0.2">
      <c r="A398" s="26" t="s">
        <v>649</v>
      </c>
      <c r="B398" s="26" t="s">
        <v>30</v>
      </c>
      <c r="C398" s="94" t="s">
        <v>1027</v>
      </c>
      <c r="D398" s="82" t="s">
        <v>650</v>
      </c>
      <c r="E398" s="85"/>
      <c r="F398" s="26" t="s">
        <v>418</v>
      </c>
      <c r="G398" s="96">
        <v>2.76</v>
      </c>
      <c r="H398" s="81">
        <f t="shared" si="6"/>
        <v>0</v>
      </c>
    </row>
    <row r="399" spans="1:8" s="2" customFormat="1" ht="36.75" customHeight="1" x14ac:dyDescent="0.2">
      <c r="A399" s="26" t="s">
        <v>717</v>
      </c>
      <c r="B399" s="26" t="s">
        <v>693</v>
      </c>
      <c r="C399" s="94" t="s">
        <v>1029</v>
      </c>
      <c r="D399" s="82" t="s">
        <v>718</v>
      </c>
      <c r="E399" s="85"/>
      <c r="F399" s="26" t="s">
        <v>407</v>
      </c>
      <c r="G399" s="96">
        <v>2.2400000000000002</v>
      </c>
      <c r="H399" s="81">
        <f t="shared" si="6"/>
        <v>0</v>
      </c>
    </row>
    <row r="400" spans="1:8" s="2" customFormat="1" ht="36.75" customHeight="1" x14ac:dyDescent="0.2">
      <c r="A400" s="38" t="s">
        <v>377</v>
      </c>
      <c r="B400" s="38" t="s">
        <v>16</v>
      </c>
      <c r="C400" s="93" t="s">
        <v>995</v>
      </c>
      <c r="D400" s="88" t="s">
        <v>378</v>
      </c>
      <c r="E400" s="89"/>
      <c r="F400" s="38" t="s">
        <v>411</v>
      </c>
      <c r="G400" s="96">
        <v>11.27</v>
      </c>
      <c r="H400" s="39">
        <f t="shared" si="6"/>
        <v>0</v>
      </c>
    </row>
    <row r="401" spans="1:8" s="2" customFormat="1" ht="36.75" customHeight="1" x14ac:dyDescent="0.2">
      <c r="A401" s="38" t="s">
        <v>452</v>
      </c>
      <c r="B401" s="38" t="s">
        <v>16</v>
      </c>
      <c r="C401" s="93" t="s">
        <v>995</v>
      </c>
      <c r="D401" s="88" t="s">
        <v>455</v>
      </c>
      <c r="E401" s="89"/>
      <c r="F401" s="38" t="s">
        <v>408</v>
      </c>
      <c r="G401" s="96">
        <v>9.5500000000000007</v>
      </c>
      <c r="H401" s="39">
        <f t="shared" si="6"/>
        <v>0</v>
      </c>
    </row>
    <row r="402" spans="1:8" s="2" customFormat="1" ht="36.75" customHeight="1" x14ac:dyDescent="0.2">
      <c r="A402" s="38" t="s">
        <v>379</v>
      </c>
      <c r="B402" s="38" t="s">
        <v>16</v>
      </c>
      <c r="C402" s="93" t="s">
        <v>995</v>
      </c>
      <c r="D402" s="88" t="s">
        <v>380</v>
      </c>
      <c r="E402" s="89"/>
      <c r="F402" s="38" t="s">
        <v>404</v>
      </c>
      <c r="G402" s="96">
        <v>2.97</v>
      </c>
      <c r="H402" s="39">
        <f t="shared" si="6"/>
        <v>0</v>
      </c>
    </row>
    <row r="403" spans="1:8" s="2" customFormat="1" ht="36.75" customHeight="1" x14ac:dyDescent="0.2">
      <c r="A403" s="38" t="s">
        <v>531</v>
      </c>
      <c r="B403" s="38" t="s">
        <v>16</v>
      </c>
      <c r="C403" s="93" t="s">
        <v>995</v>
      </c>
      <c r="D403" s="88" t="s">
        <v>532</v>
      </c>
      <c r="E403" s="89"/>
      <c r="F403" s="38" t="s">
        <v>423</v>
      </c>
      <c r="G403" s="96">
        <v>2.71</v>
      </c>
      <c r="H403" s="39">
        <f t="shared" si="6"/>
        <v>0</v>
      </c>
    </row>
    <row r="404" spans="1:8" s="2" customFormat="1" ht="36.75" customHeight="1" x14ac:dyDescent="0.2">
      <c r="A404" s="26" t="s">
        <v>975</v>
      </c>
      <c r="B404" s="26" t="s">
        <v>976</v>
      </c>
      <c r="C404" s="94" t="s">
        <v>993</v>
      </c>
      <c r="D404" s="82" t="s">
        <v>988</v>
      </c>
      <c r="E404" s="85"/>
      <c r="F404" s="26" t="s">
        <v>989</v>
      </c>
      <c r="G404" s="96">
        <v>2.21</v>
      </c>
      <c r="H404" s="81">
        <f t="shared" si="6"/>
        <v>0</v>
      </c>
    </row>
    <row r="405" spans="1:8" s="2" customFormat="1" ht="36.75" customHeight="1" x14ac:dyDescent="0.2">
      <c r="A405" s="26" t="s">
        <v>719</v>
      </c>
      <c r="B405" s="26" t="s">
        <v>693</v>
      </c>
      <c r="C405" s="94" t="s">
        <v>1029</v>
      </c>
      <c r="D405" s="82" t="s">
        <v>720</v>
      </c>
      <c r="E405" s="85"/>
      <c r="F405" s="26" t="s">
        <v>429</v>
      </c>
      <c r="G405" s="96">
        <v>2.0299999999999998</v>
      </c>
      <c r="H405" s="81">
        <f t="shared" si="6"/>
        <v>0</v>
      </c>
    </row>
    <row r="406" spans="1:8" s="2" customFormat="1" ht="36.75" customHeight="1" x14ac:dyDescent="0.2">
      <c r="A406" s="26" t="s">
        <v>562</v>
      </c>
      <c r="B406" s="26" t="s">
        <v>30</v>
      </c>
      <c r="C406" s="94" t="s">
        <v>1029</v>
      </c>
      <c r="D406" s="82" t="s">
        <v>563</v>
      </c>
      <c r="E406" s="85"/>
      <c r="F406" s="26" t="s">
        <v>430</v>
      </c>
      <c r="G406" s="96">
        <v>2.76</v>
      </c>
      <c r="H406" s="81">
        <f t="shared" si="6"/>
        <v>0</v>
      </c>
    </row>
    <row r="407" spans="1:8" s="2" customFormat="1" ht="36.75" customHeight="1" x14ac:dyDescent="0.2">
      <c r="A407" s="26" t="s">
        <v>1022</v>
      </c>
      <c r="B407" s="26" t="s">
        <v>45</v>
      </c>
      <c r="C407" s="94" t="s">
        <v>795</v>
      </c>
      <c r="D407" s="82" t="s">
        <v>1023</v>
      </c>
      <c r="E407" s="85"/>
      <c r="F407" s="26" t="s">
        <v>425</v>
      </c>
      <c r="G407" s="96">
        <v>0.93</v>
      </c>
      <c r="H407" s="81">
        <f t="shared" si="6"/>
        <v>0</v>
      </c>
    </row>
    <row r="408" spans="1:8" s="2" customFormat="1" ht="36.75" customHeight="1" x14ac:dyDescent="0.2">
      <c r="A408" s="26" t="s">
        <v>977</v>
      </c>
      <c r="B408" s="26" t="s">
        <v>36</v>
      </c>
      <c r="C408" s="94" t="s">
        <v>795</v>
      </c>
      <c r="D408" s="82" t="s">
        <v>990</v>
      </c>
      <c r="E408" s="85"/>
      <c r="F408" s="26" t="s">
        <v>416</v>
      </c>
      <c r="G408" s="96">
        <v>1.29</v>
      </c>
      <c r="H408" s="81">
        <f t="shared" si="6"/>
        <v>0</v>
      </c>
    </row>
    <row r="409" spans="1:8" s="2" customFormat="1" ht="36.75" customHeight="1" x14ac:dyDescent="0.2">
      <c r="A409" s="26" t="s">
        <v>831</v>
      </c>
      <c r="B409" s="26" t="s">
        <v>19</v>
      </c>
      <c r="C409" s="94" t="s">
        <v>795</v>
      </c>
      <c r="D409" s="82" t="s">
        <v>832</v>
      </c>
      <c r="E409" s="85"/>
      <c r="F409" s="26" t="s">
        <v>404</v>
      </c>
      <c r="G409" s="96">
        <v>3.75</v>
      </c>
      <c r="H409" s="81">
        <f t="shared" si="6"/>
        <v>0</v>
      </c>
    </row>
    <row r="410" spans="1:8" s="2" customFormat="1" ht="36.75" customHeight="1" x14ac:dyDescent="0.2">
      <c r="A410" s="38" t="s">
        <v>564</v>
      </c>
      <c r="B410" s="38" t="s">
        <v>58</v>
      </c>
      <c r="C410" s="93" t="s">
        <v>795</v>
      </c>
      <c r="D410" s="88" t="s">
        <v>565</v>
      </c>
      <c r="E410" s="89"/>
      <c r="F410" s="38" t="s">
        <v>408</v>
      </c>
      <c r="G410" s="96">
        <v>1.79</v>
      </c>
      <c r="H410" s="39">
        <f t="shared" si="6"/>
        <v>0</v>
      </c>
    </row>
    <row r="411" spans="1:8" s="2" customFormat="1" ht="36.75" customHeight="1" x14ac:dyDescent="0.2">
      <c r="A411" s="26" t="s">
        <v>467</v>
      </c>
      <c r="B411" s="26" t="s">
        <v>57</v>
      </c>
      <c r="C411" s="94" t="s">
        <v>993</v>
      </c>
      <c r="D411" s="82" t="s">
        <v>468</v>
      </c>
      <c r="E411" s="85"/>
      <c r="F411" s="26" t="s">
        <v>477</v>
      </c>
      <c r="G411" s="96">
        <v>0.96</v>
      </c>
      <c r="H411" s="81">
        <f t="shared" si="6"/>
        <v>0</v>
      </c>
    </row>
    <row r="412" spans="1:8" s="2" customFormat="1" ht="36.75" customHeight="1" x14ac:dyDescent="0.2">
      <c r="A412" s="26" t="s">
        <v>469</v>
      </c>
      <c r="B412" s="26" t="s">
        <v>57</v>
      </c>
      <c r="C412" s="94" t="s">
        <v>993</v>
      </c>
      <c r="D412" s="82" t="s">
        <v>470</v>
      </c>
      <c r="E412" s="85"/>
      <c r="F412" s="26" t="s">
        <v>414</v>
      </c>
      <c r="G412" s="96">
        <v>0.83</v>
      </c>
      <c r="H412" s="81">
        <f t="shared" si="6"/>
        <v>0</v>
      </c>
    </row>
    <row r="413" spans="1:8" s="2" customFormat="1" ht="36.75" customHeight="1" x14ac:dyDescent="0.2">
      <c r="A413" s="26" t="s">
        <v>471</v>
      </c>
      <c r="B413" s="26" t="s">
        <v>57</v>
      </c>
      <c r="C413" s="94" t="s">
        <v>993</v>
      </c>
      <c r="D413" s="82" t="s">
        <v>472</v>
      </c>
      <c r="E413" s="85"/>
      <c r="F413" s="26" t="s">
        <v>477</v>
      </c>
      <c r="G413" s="96">
        <v>0.89</v>
      </c>
      <c r="H413" s="81">
        <f t="shared" si="6"/>
        <v>0</v>
      </c>
    </row>
    <row r="414" spans="1:8" s="2" customFormat="1" ht="36.75" customHeight="1" x14ac:dyDescent="0.2">
      <c r="A414" s="26" t="s">
        <v>900</v>
      </c>
      <c r="B414" s="26" t="s">
        <v>888</v>
      </c>
      <c r="C414" s="94" t="s">
        <v>1027</v>
      </c>
      <c r="D414" s="82" t="s">
        <v>901</v>
      </c>
      <c r="E414" s="85"/>
      <c r="F414" s="26" t="s">
        <v>438</v>
      </c>
      <c r="G414" s="96">
        <v>5.85</v>
      </c>
      <c r="H414" s="81">
        <f t="shared" si="6"/>
        <v>0</v>
      </c>
    </row>
    <row r="415" spans="1:8" s="2" customFormat="1" ht="36.75" customHeight="1" x14ac:dyDescent="0.2">
      <c r="A415" s="26" t="s">
        <v>961</v>
      </c>
      <c r="B415" s="26" t="s">
        <v>30</v>
      </c>
      <c r="C415" s="94" t="s">
        <v>1025</v>
      </c>
      <c r="D415" s="82" t="s">
        <v>962</v>
      </c>
      <c r="E415" s="85"/>
      <c r="F415" s="26" t="s">
        <v>433</v>
      </c>
      <c r="G415" s="96">
        <v>3.71</v>
      </c>
      <c r="H415" s="81">
        <f t="shared" si="6"/>
        <v>0</v>
      </c>
    </row>
    <row r="416" spans="1:8" s="2" customFormat="1" ht="36.75" customHeight="1" x14ac:dyDescent="0.2">
      <c r="A416" s="26" t="s">
        <v>721</v>
      </c>
      <c r="B416" s="26" t="s">
        <v>693</v>
      </c>
      <c r="C416" s="94" t="s">
        <v>1025</v>
      </c>
      <c r="D416" s="82" t="s">
        <v>722</v>
      </c>
      <c r="E416" s="85"/>
      <c r="F416" s="26" t="s">
        <v>725</v>
      </c>
      <c r="G416" s="96">
        <v>5.26</v>
      </c>
      <c r="H416" s="81">
        <f t="shared" si="6"/>
        <v>0</v>
      </c>
    </row>
    <row r="417" spans="1:8" s="2" customFormat="1" ht="36.75" customHeight="1" x14ac:dyDescent="0.2">
      <c r="A417" s="26" t="s">
        <v>780</v>
      </c>
      <c r="B417" s="26" t="s">
        <v>101</v>
      </c>
      <c r="C417" s="94" t="s">
        <v>1025</v>
      </c>
      <c r="D417" s="82" t="s">
        <v>781</v>
      </c>
      <c r="E417" s="85"/>
      <c r="F417" s="26" t="s">
        <v>790</v>
      </c>
      <c r="G417" s="96">
        <v>3.86</v>
      </c>
      <c r="H417" s="81">
        <f t="shared" si="6"/>
        <v>0</v>
      </c>
    </row>
    <row r="418" spans="1:8" s="2" customFormat="1" ht="36.75" customHeight="1" x14ac:dyDescent="0.2">
      <c r="A418" s="26" t="s">
        <v>766</v>
      </c>
      <c r="B418" s="26" t="s">
        <v>767</v>
      </c>
      <c r="C418" s="94" t="s">
        <v>993</v>
      </c>
      <c r="D418" s="82" t="s">
        <v>768</v>
      </c>
      <c r="E418" s="85"/>
      <c r="F418" s="26" t="s">
        <v>402</v>
      </c>
      <c r="G418" s="96">
        <v>1.71</v>
      </c>
      <c r="H418" s="81">
        <f t="shared" si="6"/>
        <v>0</v>
      </c>
    </row>
    <row r="419" spans="1:8" s="2" customFormat="1" ht="36.75" customHeight="1" x14ac:dyDescent="0.2">
      <c r="A419" s="26" t="s">
        <v>978</v>
      </c>
      <c r="B419" s="26" t="s">
        <v>30</v>
      </c>
      <c r="C419" s="94" t="s">
        <v>1029</v>
      </c>
      <c r="D419" s="82" t="s">
        <v>991</v>
      </c>
      <c r="E419" s="85"/>
      <c r="F419" s="26" t="s">
        <v>403</v>
      </c>
      <c r="G419" s="96">
        <v>0.86</v>
      </c>
      <c r="H419" s="81">
        <f t="shared" si="6"/>
        <v>0</v>
      </c>
    </row>
    <row r="420" spans="1:8" s="2" customFormat="1" ht="36.75" customHeight="1" x14ac:dyDescent="0.2">
      <c r="A420" s="26" t="s">
        <v>533</v>
      </c>
      <c r="B420" s="26" t="s">
        <v>47</v>
      </c>
      <c r="C420" s="94" t="s">
        <v>1024</v>
      </c>
      <c r="D420" s="82" t="s">
        <v>534</v>
      </c>
      <c r="E420" s="85"/>
      <c r="F420" s="26" t="s">
        <v>411</v>
      </c>
      <c r="G420" s="96">
        <v>1.89</v>
      </c>
      <c r="H420" s="81">
        <f t="shared" si="6"/>
        <v>0</v>
      </c>
    </row>
    <row r="421" spans="1:8" s="2" customFormat="1" ht="36.75" customHeight="1" x14ac:dyDescent="0.2">
      <c r="A421" s="26" t="s">
        <v>686</v>
      </c>
      <c r="B421" s="26" t="s">
        <v>659</v>
      </c>
      <c r="C421" s="94" t="s">
        <v>1024</v>
      </c>
      <c r="D421" s="82" t="s">
        <v>687</v>
      </c>
      <c r="E421" s="85"/>
      <c r="F421" s="26" t="s">
        <v>408</v>
      </c>
      <c r="G421" s="96">
        <v>1.64</v>
      </c>
      <c r="H421" s="81">
        <f t="shared" si="6"/>
        <v>0</v>
      </c>
    </row>
    <row r="422" spans="1:8" s="2" customFormat="1" ht="36.75" customHeight="1" x14ac:dyDescent="0.2">
      <c r="A422" s="38" t="s">
        <v>902</v>
      </c>
      <c r="B422" s="38" t="s">
        <v>16</v>
      </c>
      <c r="C422" s="93" t="s">
        <v>995</v>
      </c>
      <c r="D422" s="88" t="s">
        <v>903</v>
      </c>
      <c r="E422" s="89"/>
      <c r="F422" s="38" t="s">
        <v>430</v>
      </c>
      <c r="G422" s="96">
        <v>2.0099999999999998</v>
      </c>
      <c r="H422" s="39">
        <f t="shared" si="6"/>
        <v>0</v>
      </c>
    </row>
    <row r="423" spans="1:8" s="2" customFormat="1" ht="36.75" customHeight="1" x14ac:dyDescent="0.2">
      <c r="A423" s="38" t="s">
        <v>535</v>
      </c>
      <c r="B423" s="38" t="s">
        <v>16</v>
      </c>
      <c r="C423" s="93" t="s">
        <v>995</v>
      </c>
      <c r="D423" s="88" t="s">
        <v>536</v>
      </c>
      <c r="E423" s="89"/>
      <c r="F423" s="38" t="s">
        <v>413</v>
      </c>
      <c r="G423" s="96">
        <v>0.97</v>
      </c>
      <c r="H423" s="39">
        <f t="shared" si="6"/>
        <v>0</v>
      </c>
    </row>
    <row r="424" spans="1:8" s="2" customFormat="1" ht="36.75" customHeight="1" x14ac:dyDescent="0.2">
      <c r="A424" s="38" t="s">
        <v>688</v>
      </c>
      <c r="B424" s="38" t="s">
        <v>16</v>
      </c>
      <c r="C424" s="93" t="s">
        <v>995</v>
      </c>
      <c r="D424" s="88" t="s">
        <v>689</v>
      </c>
      <c r="E424" s="89"/>
      <c r="F424" s="38" t="s">
        <v>410</v>
      </c>
      <c r="G424" s="96">
        <v>2.59</v>
      </c>
      <c r="H424" s="39">
        <f t="shared" si="6"/>
        <v>0</v>
      </c>
    </row>
    <row r="425" spans="1:8" s="2" customFormat="1" ht="36.75" customHeight="1" x14ac:dyDescent="0.2">
      <c r="A425" s="38" t="s">
        <v>690</v>
      </c>
      <c r="B425" s="38" t="s">
        <v>16</v>
      </c>
      <c r="C425" s="93" t="s">
        <v>995</v>
      </c>
      <c r="D425" s="88" t="s">
        <v>691</v>
      </c>
      <c r="E425" s="89"/>
      <c r="F425" s="38" t="s">
        <v>429</v>
      </c>
      <c r="G425" s="96">
        <v>2.59</v>
      </c>
      <c r="H425" s="39">
        <f t="shared" si="6"/>
        <v>0</v>
      </c>
    </row>
    <row r="426" spans="1:8" s="2" customFormat="1" ht="36.75" customHeight="1" x14ac:dyDescent="0.2">
      <c r="A426" s="38" t="s">
        <v>278</v>
      </c>
      <c r="B426" s="38" t="s">
        <v>16</v>
      </c>
      <c r="C426" s="93" t="s">
        <v>995</v>
      </c>
      <c r="D426" s="88" t="s">
        <v>741</v>
      </c>
      <c r="E426" s="89"/>
      <c r="F426" s="38" t="s">
        <v>439</v>
      </c>
      <c r="G426" s="96">
        <v>1.68</v>
      </c>
      <c r="H426" s="39">
        <f t="shared" si="6"/>
        <v>0</v>
      </c>
    </row>
    <row r="427" spans="1:8" s="2" customFormat="1" ht="36.75" customHeight="1" x14ac:dyDescent="0.2">
      <c r="A427" s="26" t="s">
        <v>496</v>
      </c>
      <c r="B427" s="26" t="s">
        <v>43</v>
      </c>
      <c r="C427" s="94" t="s">
        <v>1030</v>
      </c>
      <c r="D427" s="82" t="s">
        <v>497</v>
      </c>
      <c r="E427" s="85"/>
      <c r="F427" s="26" t="s">
        <v>430</v>
      </c>
      <c r="G427" s="96">
        <v>11.91</v>
      </c>
      <c r="H427" s="81">
        <f t="shared" si="6"/>
        <v>0</v>
      </c>
    </row>
    <row r="428" spans="1:8" s="2" customFormat="1" ht="36.75" customHeight="1" x14ac:dyDescent="0.2">
      <c r="A428" s="26" t="s">
        <v>782</v>
      </c>
      <c r="B428" s="26" t="s">
        <v>783</v>
      </c>
      <c r="C428" s="94" t="s">
        <v>1029</v>
      </c>
      <c r="D428" s="82" t="s">
        <v>784</v>
      </c>
      <c r="E428" s="85"/>
      <c r="F428" s="26" t="s">
        <v>397</v>
      </c>
      <c r="G428" s="96">
        <v>2.11</v>
      </c>
      <c r="H428" s="81">
        <f t="shared" si="6"/>
        <v>0</v>
      </c>
    </row>
    <row r="429" spans="1:8" s="2" customFormat="1" ht="36.75" customHeight="1" x14ac:dyDescent="0.2">
      <c r="A429" s="26" t="s">
        <v>785</v>
      </c>
      <c r="B429" s="26" t="s">
        <v>783</v>
      </c>
      <c r="C429" s="94" t="s">
        <v>1029</v>
      </c>
      <c r="D429" s="82" t="s">
        <v>786</v>
      </c>
      <c r="E429" s="85"/>
      <c r="F429" s="26" t="s">
        <v>398</v>
      </c>
      <c r="G429" s="96">
        <v>2.57</v>
      </c>
      <c r="H429" s="81">
        <f t="shared" si="6"/>
        <v>0</v>
      </c>
    </row>
    <row r="430" spans="1:8" s="2" customFormat="1" ht="36.75" customHeight="1" x14ac:dyDescent="0.2">
      <c r="A430" s="35" t="s">
        <v>845</v>
      </c>
      <c r="B430" s="35" t="s">
        <v>52</v>
      </c>
      <c r="C430" s="95" t="s">
        <v>1024</v>
      </c>
      <c r="D430" s="90" t="s">
        <v>854</v>
      </c>
      <c r="E430" s="92"/>
      <c r="F430" s="35" t="s">
        <v>855</v>
      </c>
      <c r="G430" s="96">
        <v>2.0099999999999998</v>
      </c>
      <c r="H430" s="36">
        <f t="shared" si="6"/>
        <v>0</v>
      </c>
    </row>
    <row r="431" spans="1:8" s="2" customFormat="1" ht="36.75" customHeight="1" x14ac:dyDescent="0.2">
      <c r="A431" s="26" t="s">
        <v>651</v>
      </c>
      <c r="B431" s="26" t="s">
        <v>36</v>
      </c>
      <c r="C431" s="94" t="s">
        <v>1024</v>
      </c>
      <c r="D431" s="82" t="s">
        <v>652</v>
      </c>
      <c r="E431" s="85"/>
      <c r="F431" s="26" t="s">
        <v>408</v>
      </c>
      <c r="G431" s="96">
        <v>2.86</v>
      </c>
      <c r="H431" s="81">
        <f t="shared" si="6"/>
        <v>0</v>
      </c>
    </row>
    <row r="432" spans="1:8" s="2" customFormat="1" ht="36.75" customHeight="1" x14ac:dyDescent="0.2">
      <c r="A432" s="26" t="s">
        <v>723</v>
      </c>
      <c r="B432" s="26" t="s">
        <v>693</v>
      </c>
      <c r="C432" s="94" t="s">
        <v>1027</v>
      </c>
      <c r="D432" s="82" t="s">
        <v>724</v>
      </c>
      <c r="E432" s="85"/>
      <c r="F432" s="26" t="s">
        <v>423</v>
      </c>
      <c r="G432" s="96">
        <v>3.1</v>
      </c>
      <c r="H432" s="81">
        <f t="shared" si="6"/>
        <v>0</v>
      </c>
    </row>
    <row r="433" spans="1:8" s="2" customFormat="1" ht="36.75" customHeight="1" x14ac:dyDescent="0.2">
      <c r="A433" s="26" t="s">
        <v>833</v>
      </c>
      <c r="B433" s="26" t="s">
        <v>19</v>
      </c>
      <c r="C433" s="94" t="s">
        <v>993</v>
      </c>
      <c r="D433" s="82" t="s">
        <v>834</v>
      </c>
      <c r="E433" s="85"/>
      <c r="F433" s="26" t="s">
        <v>837</v>
      </c>
      <c r="G433" s="96">
        <v>21.43</v>
      </c>
      <c r="H433" s="81">
        <f t="shared" si="6"/>
        <v>0</v>
      </c>
    </row>
    <row r="434" spans="1:8" s="2" customFormat="1" ht="36.75" customHeight="1" x14ac:dyDescent="0.2">
      <c r="A434" s="26" t="s">
        <v>835</v>
      </c>
      <c r="B434" s="26" t="s">
        <v>19</v>
      </c>
      <c r="C434" s="94" t="s">
        <v>993</v>
      </c>
      <c r="D434" s="82" t="s">
        <v>963</v>
      </c>
      <c r="E434" s="85"/>
      <c r="F434" s="26" t="s">
        <v>836</v>
      </c>
      <c r="G434" s="96">
        <v>0.21</v>
      </c>
      <c r="H434" s="81">
        <f t="shared" si="6"/>
        <v>0</v>
      </c>
    </row>
    <row r="435" spans="1:8" s="2" customFormat="1" ht="36.75" customHeight="1" x14ac:dyDescent="0.2">
      <c r="A435" s="38" t="s">
        <v>904</v>
      </c>
      <c r="B435" s="38" t="s">
        <v>58</v>
      </c>
      <c r="C435" s="93" t="s">
        <v>1026</v>
      </c>
      <c r="D435" s="88" t="s">
        <v>905</v>
      </c>
      <c r="E435" s="89"/>
      <c r="F435" s="38" t="s">
        <v>413</v>
      </c>
      <c r="G435" s="96">
        <v>1.9</v>
      </c>
      <c r="H435" s="39">
        <f t="shared" si="6"/>
        <v>0</v>
      </c>
    </row>
    <row r="436" spans="1:8" s="2" customFormat="1" ht="36.75" customHeight="1" x14ac:dyDescent="0.2">
      <c r="A436" s="26" t="s">
        <v>381</v>
      </c>
      <c r="B436" s="26" t="s">
        <v>30</v>
      </c>
      <c r="C436" s="94" t="s">
        <v>1027</v>
      </c>
      <c r="D436" s="82" t="s">
        <v>382</v>
      </c>
      <c r="E436" s="85"/>
      <c r="F436" s="26" t="s">
        <v>410</v>
      </c>
      <c r="G436" s="96">
        <v>5.51</v>
      </c>
      <c r="H436" s="81">
        <f t="shared" si="6"/>
        <v>0</v>
      </c>
    </row>
    <row r="437" spans="1:8" s="2" customFormat="1" ht="36.75" customHeight="1" x14ac:dyDescent="0.2">
      <c r="A437" s="26" t="s">
        <v>383</v>
      </c>
      <c r="B437" s="26" t="s">
        <v>30</v>
      </c>
      <c r="C437" s="94" t="s">
        <v>1029</v>
      </c>
      <c r="D437" s="82" t="s">
        <v>384</v>
      </c>
      <c r="E437" s="85"/>
      <c r="F437" s="26" t="s">
        <v>403</v>
      </c>
      <c r="G437" s="96">
        <v>3.76</v>
      </c>
      <c r="H437" s="81">
        <f t="shared" si="6"/>
        <v>0</v>
      </c>
    </row>
    <row r="438" spans="1:8" s="2" customFormat="1" ht="36.75" customHeight="1" x14ac:dyDescent="0.2">
      <c r="A438" s="26" t="s">
        <v>964</v>
      </c>
      <c r="B438" s="26" t="s">
        <v>30</v>
      </c>
      <c r="C438" s="94" t="s">
        <v>1029</v>
      </c>
      <c r="D438" s="82" t="s">
        <v>965</v>
      </c>
      <c r="E438" s="85"/>
      <c r="F438" s="26" t="s">
        <v>403</v>
      </c>
      <c r="G438" s="96">
        <v>3.54</v>
      </c>
      <c r="H438" s="81">
        <f t="shared" si="6"/>
        <v>0</v>
      </c>
    </row>
    <row r="439" spans="1:8" s="2" customFormat="1" ht="36.75" customHeight="1" x14ac:dyDescent="0.2">
      <c r="A439" s="26" t="s">
        <v>385</v>
      </c>
      <c r="B439" s="26" t="s">
        <v>52</v>
      </c>
      <c r="C439" s="94" t="s">
        <v>1024</v>
      </c>
      <c r="D439" s="82" t="s">
        <v>386</v>
      </c>
      <c r="E439" s="85"/>
      <c r="F439" s="26" t="s">
        <v>448</v>
      </c>
      <c r="G439" s="96">
        <v>7.97</v>
      </c>
      <c r="H439" s="81">
        <f t="shared" si="6"/>
        <v>0</v>
      </c>
    </row>
    <row r="440" spans="1:8" s="2" customFormat="1" ht="36.75" customHeight="1" x14ac:dyDescent="0.2">
      <c r="A440" s="26" t="s">
        <v>473</v>
      </c>
      <c r="B440" s="26" t="s">
        <v>45</v>
      </c>
      <c r="C440" s="94" t="s">
        <v>1024</v>
      </c>
      <c r="D440" s="82" t="s">
        <v>474</v>
      </c>
      <c r="E440" s="85"/>
      <c r="F440" s="26" t="s">
        <v>439</v>
      </c>
      <c r="G440" s="96">
        <v>4.2699999999999996</v>
      </c>
      <c r="H440" s="81">
        <f t="shared" si="6"/>
        <v>0</v>
      </c>
    </row>
    <row r="441" spans="1:8" s="2" customFormat="1" ht="36.75" customHeight="1" x14ac:dyDescent="0.2">
      <c r="A441" s="26" t="s">
        <v>387</v>
      </c>
      <c r="B441" s="26" t="s">
        <v>52</v>
      </c>
      <c r="C441" s="94" t="s">
        <v>1024</v>
      </c>
      <c r="D441" s="82" t="s">
        <v>388</v>
      </c>
      <c r="E441" s="85"/>
      <c r="F441" s="26" t="s">
        <v>449</v>
      </c>
      <c r="G441" s="96">
        <v>5.64</v>
      </c>
      <c r="H441" s="81">
        <f t="shared" si="6"/>
        <v>0</v>
      </c>
    </row>
    <row r="442" spans="1:8" s="2" customFormat="1" ht="36.75" customHeight="1" x14ac:dyDescent="0.2">
      <c r="A442" s="26" t="s">
        <v>906</v>
      </c>
      <c r="B442" s="26" t="s">
        <v>57</v>
      </c>
      <c r="C442" s="94" t="s">
        <v>993</v>
      </c>
      <c r="D442" s="82" t="s">
        <v>907</v>
      </c>
      <c r="E442" s="85"/>
      <c r="F442" s="26" t="s">
        <v>414</v>
      </c>
      <c r="G442" s="96">
        <v>3.67</v>
      </c>
      <c r="H442" s="81">
        <f t="shared" si="6"/>
        <v>0</v>
      </c>
    </row>
    <row r="443" spans="1:8" ht="36.75" customHeight="1" x14ac:dyDescent="0.2">
      <c r="A443" s="26" t="s">
        <v>389</v>
      </c>
      <c r="B443" s="26" t="s">
        <v>40</v>
      </c>
      <c r="C443" s="94" t="s">
        <v>1029</v>
      </c>
      <c r="D443" s="82" t="s">
        <v>390</v>
      </c>
      <c r="E443" s="85"/>
      <c r="F443" s="26" t="s">
        <v>397</v>
      </c>
      <c r="G443" s="96">
        <v>4.53</v>
      </c>
      <c r="H443" s="81">
        <f t="shared" si="6"/>
        <v>0</v>
      </c>
    </row>
    <row r="444" spans="1:8" ht="36.75" customHeight="1" x14ac:dyDescent="0.2">
      <c r="A444" s="26" t="s">
        <v>391</v>
      </c>
      <c r="B444" s="26" t="s">
        <v>30</v>
      </c>
      <c r="C444" s="94" t="s">
        <v>1027</v>
      </c>
      <c r="D444" s="82" t="s">
        <v>392</v>
      </c>
      <c r="E444" s="85"/>
      <c r="F444" s="26" t="s">
        <v>398</v>
      </c>
      <c r="G444" s="96">
        <v>4.1399999999999997</v>
      </c>
      <c r="H444" s="81">
        <f t="shared" si="6"/>
        <v>0</v>
      </c>
    </row>
    <row r="445" spans="1:8" ht="36.75" customHeight="1" x14ac:dyDescent="0.2">
      <c r="A445" s="26" t="s">
        <v>393</v>
      </c>
      <c r="B445" s="26" t="s">
        <v>30</v>
      </c>
      <c r="C445" s="94" t="s">
        <v>1029</v>
      </c>
      <c r="D445" s="82" t="s">
        <v>394</v>
      </c>
      <c r="E445" s="85"/>
      <c r="F445" s="26" t="s">
        <v>430</v>
      </c>
      <c r="G445" s="96">
        <v>5.51</v>
      </c>
      <c r="H445" s="81">
        <f t="shared" si="6"/>
        <v>0</v>
      </c>
    </row>
    <row r="446" spans="1:8" ht="36.75" customHeight="1" x14ac:dyDescent="0.2">
      <c r="A446" s="26" t="s">
        <v>395</v>
      </c>
      <c r="B446" s="26" t="s">
        <v>99</v>
      </c>
      <c r="C446" s="94" t="s">
        <v>1024</v>
      </c>
      <c r="D446" s="82" t="s">
        <v>396</v>
      </c>
      <c r="E446" s="85"/>
      <c r="F446" s="26" t="s">
        <v>656</v>
      </c>
      <c r="G446" s="96">
        <v>0.93</v>
      </c>
      <c r="H446" s="81">
        <f t="shared" si="6"/>
        <v>0</v>
      </c>
    </row>
    <row r="447" spans="1:8" ht="36.75" customHeight="1" x14ac:dyDescent="0.2">
      <c r="A447" s="26" t="s">
        <v>569</v>
      </c>
      <c r="B447" s="26" t="s">
        <v>30</v>
      </c>
      <c r="C447" s="94" t="s">
        <v>1029</v>
      </c>
      <c r="D447" s="82" t="s">
        <v>570</v>
      </c>
      <c r="E447" s="85"/>
      <c r="F447" s="26" t="s">
        <v>417</v>
      </c>
      <c r="G447" s="96">
        <v>8.57</v>
      </c>
      <c r="H447" s="81">
        <f t="shared" si="6"/>
        <v>0</v>
      </c>
    </row>
    <row r="448" spans="1:8" ht="36.75" customHeight="1" x14ac:dyDescent="0.2">
      <c r="A448" s="26" t="s">
        <v>787</v>
      </c>
      <c r="B448" s="26" t="s">
        <v>19</v>
      </c>
      <c r="C448" s="94" t="s">
        <v>1029</v>
      </c>
      <c r="D448" s="82" t="s">
        <v>788</v>
      </c>
      <c r="E448" s="85"/>
      <c r="F448" s="26" t="s">
        <v>398</v>
      </c>
      <c r="G448" s="96">
        <v>10.29</v>
      </c>
      <c r="H448" s="81">
        <f t="shared" si="6"/>
        <v>0</v>
      </c>
    </row>
    <row r="449" spans="1:8" ht="33.75" customHeight="1" x14ac:dyDescent="0.2">
      <c r="A449" s="80" t="s">
        <v>14</v>
      </c>
      <c r="B449" s="80"/>
      <c r="C449" s="80"/>
      <c r="D449" s="80"/>
      <c r="E449" s="20"/>
      <c r="F449" s="31"/>
      <c r="G449" s="17"/>
      <c r="H449" s="18">
        <f>SUM(H18:H448)</f>
        <v>0</v>
      </c>
    </row>
    <row r="450" spans="1:8" ht="27" customHeight="1" x14ac:dyDescent="0.2">
      <c r="A450" s="79" t="s">
        <v>8</v>
      </c>
      <c r="B450" s="79"/>
      <c r="C450" s="79"/>
      <c r="D450" s="79"/>
      <c r="E450" s="19"/>
      <c r="F450" s="32"/>
    </row>
    <row r="451" spans="1:8" ht="27" customHeight="1" x14ac:dyDescent="0.2">
      <c r="A451" s="79" t="s">
        <v>9</v>
      </c>
      <c r="B451" s="79"/>
      <c r="C451" s="79"/>
      <c r="D451" s="79"/>
      <c r="E451" s="79"/>
      <c r="F451" s="79"/>
    </row>
    <row r="452" spans="1:8" ht="27" customHeight="1" x14ac:dyDescent="0.2">
      <c r="A452" s="29" t="s">
        <v>770</v>
      </c>
      <c r="B452" s="32"/>
      <c r="D452" s="16"/>
      <c r="E452" s="19"/>
      <c r="F452" s="32"/>
    </row>
    <row r="453" spans="1:8" ht="27" customHeight="1" x14ac:dyDescent="0.2">
      <c r="A453" s="79" t="s">
        <v>10</v>
      </c>
      <c r="B453" s="79"/>
      <c r="C453" s="79"/>
      <c r="D453" s="79"/>
      <c r="E453" s="79"/>
      <c r="F453" s="79"/>
    </row>
    <row r="454" spans="1:8" ht="27" customHeight="1" x14ac:dyDescent="0.2">
      <c r="A454" s="79" t="s">
        <v>11</v>
      </c>
      <c r="B454" s="79"/>
      <c r="C454" s="79"/>
      <c r="D454" s="79"/>
      <c r="E454" s="79"/>
      <c r="F454" s="79"/>
      <c r="H454" s="6"/>
    </row>
    <row r="455" spans="1:8" ht="26.25" customHeight="1" x14ac:dyDescent="0.2">
      <c r="A455" s="40" t="s">
        <v>910</v>
      </c>
      <c r="B455" s="41"/>
      <c r="C455" s="41"/>
      <c r="D455" s="41"/>
      <c r="E455" s="41"/>
      <c r="F455" s="41"/>
      <c r="G455" s="41"/>
      <c r="H455" s="42"/>
    </row>
    <row r="456" spans="1:8" ht="62.25" customHeight="1" x14ac:dyDescent="0.2">
      <c r="A456" s="43"/>
      <c r="B456" s="44"/>
      <c r="C456" s="44"/>
      <c r="D456" s="44"/>
      <c r="E456" s="44"/>
      <c r="F456" s="44"/>
      <c r="G456" s="44"/>
      <c r="H456" s="45"/>
    </row>
  </sheetData>
  <autoFilter ref="A17:H462" xr:uid="{00000000-0009-0000-0000-000000000000}"/>
  <sortState xmlns:xlrd2="http://schemas.microsoft.com/office/spreadsheetml/2017/richdata2" ref="A18:H448">
    <sortCondition ref="D18:D448"/>
  </sortState>
  <mergeCells count="19">
    <mergeCell ref="D5:H5"/>
    <mergeCell ref="D1:H4"/>
    <mergeCell ref="K9:Q10"/>
    <mergeCell ref="A12:D12"/>
    <mergeCell ref="A453:F453"/>
    <mergeCell ref="A451:F451"/>
    <mergeCell ref="A450:D450"/>
    <mergeCell ref="A449:D449"/>
    <mergeCell ref="A455:H456"/>
    <mergeCell ref="D6:H6"/>
    <mergeCell ref="A14:D14"/>
    <mergeCell ref="A8:H8"/>
    <mergeCell ref="E9:F9"/>
    <mergeCell ref="A13:D13"/>
    <mergeCell ref="G11:H12"/>
    <mergeCell ref="E12:F12"/>
    <mergeCell ref="G13:H13"/>
    <mergeCell ref="G14:H14"/>
    <mergeCell ref="A454:F454"/>
  </mergeCells>
  <pageMargins left="0.27559055118110237" right="0" top="0.19685039370078741" bottom="0.19685039370078741" header="0" footer="0"/>
  <pageSetup scale="65" fitToWidth="0" fitToHeight="0" orientation="landscape" horizontalDpi="360" verticalDpi="36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5976-1429-4EEE-9F9F-6200BB98965E}">
  <dimension ref="A1"/>
  <sheetViews>
    <sheetView workbookViewId="0">
      <selection activeCell="D25" sqref="D25"/>
    </sheetView>
  </sheetViews>
  <sheetFormatPr baseColWidth="10" defaultRowHeight="12.75" x14ac:dyDescent="0.2"/>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Sheet1</vt:lpstr>
      <vt:lpstr>Hoja1</vt:lpstr>
      <vt:lpstr>Sheet1!Área_de_impresión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Decisions</dc:creator>
  <dc:description>Powered by Crystal</dc:description>
  <cp:lastModifiedBy>Administrator</cp:lastModifiedBy>
  <cp:lastPrinted>2026-10-06T17:36:25Z</cp:lastPrinted>
  <dcterms:created xsi:type="dcterms:W3CDTF">2024-12-04T10:28:59Z</dcterms:created>
  <dcterms:modified xsi:type="dcterms:W3CDTF">2026-10-06T17:36:58Z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Objects Context Information">
    <vt:lpwstr>01C2D35AF44DC8546069FCCFAB82437E8AE85364339A3FD7B8457322ABA5F93C1946319DEC9FEB372CA6F18F9A86D7A760E9433A14A31CA44E93C3CB76290C22F08862345014DF2CAA86CCA7EE6CB5E3DF352800A2D4FBBDB5E6ABD6AB5EAB5FF47D98B319B86EC9C5777550DB4B79CEAB2BE3B69235938CF64CF5B12DB136B</vt:lpwstr>
  </property>
  <property fmtid="{D5CDD505-2E9C-101B-9397-08002B2CF9AE}" pid="3" name="Business Objects Context Information1">
    <vt:lpwstr>AFFEEDD10184B589682B52480D7D8C2E79E6CB08A023B94D90F6CF0264DA19DF0B9242B9A7AD48B10665F83591170027413C9395EB0D86E6AA48FA6381A50A563F5937D1C184D971A6E2B3B5F63329E2C18B34585ED3299E55717354C0450D9768743EEA99EF3C1375B1116D9654D0A7612542753719ED317F3DEE4659CA8BB</vt:lpwstr>
  </property>
  <property fmtid="{D5CDD505-2E9C-101B-9397-08002B2CF9AE}" pid="4" name="Business Objects Context Information2">
    <vt:lpwstr>D373596D59344F2C67B0C799C152989E8D763AC47B419E99BFDD1232274C9927C70B27D8E5FE742A26972D9655B9642308CA3BD52F1B572504A1DB833280BEF8C72A6A6749608BA21817C5F844B900E4FF5569C343BA231F33F8D04BFF97CE460F73B53965BEBE81C6B29577AF3B8118DCFA10A33892450AF8A0E14467E5440</vt:lpwstr>
  </property>
  <property fmtid="{D5CDD505-2E9C-101B-9397-08002B2CF9AE}" pid="5" name="Business Objects Context Information3">
    <vt:lpwstr>FD3DA18F505B0FBD40754A0CC66384CA02A9CBDA643589AB636ED0868CEB68F6056FBBCB339AD16518CA3340228424F6BE2C1E89C6833A6E828C28745132D1FF1870DADC2D228E3B611C1B6F7B8198269056E2E28F9E0DA091BF4C09362B1CC2CEEB308D204D318A5A31290BB839AA9CE13C78E1ECF63170C10126E1663B13B</vt:lpwstr>
  </property>
  <property fmtid="{D5CDD505-2E9C-101B-9397-08002B2CF9AE}" pid="6" name="Business Objects Context Information4">
    <vt:lpwstr>0FAF957C51A5EA501660149E4628B2EC983A734183B0B903DD9639CA5DFB8BD81EC4F2A757E0A97764CC85A9BF91A68BD8BAEBEAD1D08F50F15168C2BE6F195321DAFA9AE6DD66A099119080BF535A5935CA3CDE410208A346D2FDE893951336974FB4956B33EC5BDBB32440177826DA452D89706F36E3B0E0EFF72ADD663E1</vt:lpwstr>
  </property>
  <property fmtid="{D5CDD505-2E9C-101B-9397-08002B2CF9AE}" pid="7" name="Business Objects Context Information5">
    <vt:lpwstr>AD55A59E06E0A17BD11A627164DCFCC6BAD3314C9ADE557BC735ADAB2F32867AC61ACC0CF3FE3FF8F0F612F8B9494BC4630661E90EF3D9CABD3C4A945F769AF35746F07CBA88A2B278F5AE858BA3D312CAD8783B36E03321311FB9C6636252C8C70F6663B5027C1751B46CD9E1D76C6F9ED9B222CDF891EBA4FD2AAAD2D9EB5</vt:lpwstr>
  </property>
  <property fmtid="{D5CDD505-2E9C-101B-9397-08002B2CF9AE}" pid="8" name="Business Objects Context Information6">
    <vt:lpwstr>E842D5B6E88E54E60C1F89FA9247AC26A2CE02287D4C23FF34079B9727B4AA91FE985D61</vt:lpwstr>
  </property>
</Properties>
</file>