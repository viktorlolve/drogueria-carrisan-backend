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T-Ventas\Documents\"/>
    </mc:Choice>
  </mc:AlternateContent>
  <xr:revisionPtr revIDLastSave="0" documentId="8_{ED22F9AC-2A23-4BE0-B804-4A1C544F13FD}" xr6:coauthVersionLast="47" xr6:coauthVersionMax="47" xr10:uidLastSave="{00000000-0000-0000-0000-000000000000}"/>
  <bookViews>
    <workbookView xWindow="-120" yWindow="-120" windowWidth="20640" windowHeight="11160" xr2:uid="{386594D7-4542-4BC5-B119-1704A345502B}"/>
  </bookViews>
  <sheets>
    <sheet name="TOMA DE PEDIDO" sheetId="1" r:id="rId1"/>
  </sheets>
  <externalReferences>
    <externalReference r:id="rId2"/>
  </externalReferences>
  <definedNames>
    <definedName name="_xlnm._FilterDatabase" localSheetId="0" hidden="1">'TOMA DE PEDIDO'!$E$8:$S$244</definedName>
    <definedName name="NOMBRE">'[1]LISTA DE CLIENTES'!#REF!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5" i="1" l="1"/>
  <c r="S244" i="1"/>
  <c r="R244" i="1"/>
  <c r="S10" i="1"/>
  <c r="R10" i="1"/>
  <c r="S243" i="1"/>
  <c r="R243" i="1"/>
  <c r="S242" i="1"/>
  <c r="R242" i="1"/>
  <c r="S241" i="1"/>
  <c r="R241" i="1"/>
  <c r="S41" i="1"/>
  <c r="R41" i="1"/>
  <c r="S40" i="1"/>
  <c r="R40" i="1"/>
  <c r="S240" i="1"/>
  <c r="R240" i="1"/>
  <c r="S239" i="1"/>
  <c r="R239" i="1"/>
  <c r="S39" i="1"/>
  <c r="R39" i="1"/>
  <c r="S238" i="1"/>
  <c r="R238" i="1"/>
  <c r="S38" i="1"/>
  <c r="R38" i="1"/>
  <c r="S237" i="1"/>
  <c r="R237" i="1"/>
  <c r="S37" i="1"/>
  <c r="R37" i="1"/>
  <c r="S236" i="1"/>
  <c r="R236" i="1"/>
  <c r="S235" i="1"/>
  <c r="R235" i="1"/>
  <c r="S36" i="1"/>
  <c r="R36" i="1"/>
  <c r="S35" i="1"/>
  <c r="R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34" i="1"/>
  <c r="R34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33" i="1"/>
  <c r="R33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32" i="1"/>
  <c r="R32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31" i="1"/>
  <c r="R31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30" i="1"/>
  <c r="R30" i="1"/>
  <c r="S170" i="1"/>
  <c r="R170" i="1"/>
  <c r="S29" i="1"/>
  <c r="R29" i="1"/>
  <c r="S28" i="1"/>
  <c r="R28" i="1"/>
  <c r="S169" i="1"/>
  <c r="R169" i="1"/>
  <c r="S168" i="1"/>
  <c r="R168" i="1"/>
  <c r="S167" i="1"/>
  <c r="R167" i="1"/>
  <c r="S27" i="1"/>
  <c r="R2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26" i="1"/>
  <c r="R26" i="1"/>
  <c r="S153" i="1"/>
  <c r="R153" i="1"/>
  <c r="S152" i="1"/>
  <c r="R152" i="1"/>
  <c r="S151" i="1"/>
  <c r="R151" i="1"/>
  <c r="S150" i="1"/>
  <c r="R150" i="1"/>
  <c r="S149" i="1"/>
  <c r="R149" i="1"/>
  <c r="S25" i="1"/>
  <c r="R25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24" i="1"/>
  <c r="R24" i="1"/>
  <c r="S142" i="1"/>
  <c r="R142" i="1"/>
  <c r="S141" i="1"/>
  <c r="R141" i="1"/>
  <c r="S140" i="1"/>
  <c r="R140" i="1"/>
  <c r="S23" i="1"/>
  <c r="R23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22" i="1"/>
  <c r="R22" i="1"/>
  <c r="S126" i="1"/>
  <c r="R126" i="1"/>
  <c r="S125" i="1"/>
  <c r="R125" i="1"/>
  <c r="S124" i="1"/>
  <c r="R124" i="1"/>
  <c r="S21" i="1"/>
  <c r="R21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20" i="1"/>
  <c r="R20" i="1"/>
  <c r="S19" i="1"/>
  <c r="R19" i="1"/>
  <c r="S18" i="1"/>
  <c r="R18" i="1"/>
  <c r="S111" i="1"/>
  <c r="R111" i="1"/>
  <c r="S110" i="1"/>
  <c r="R110" i="1"/>
  <c r="S109" i="1"/>
  <c r="R109" i="1"/>
  <c r="S108" i="1"/>
  <c r="R108" i="1"/>
  <c r="S107" i="1"/>
  <c r="R107" i="1"/>
  <c r="S17" i="1"/>
  <c r="R17" i="1"/>
  <c r="S106" i="1"/>
  <c r="R106" i="1"/>
  <c r="S105" i="1"/>
  <c r="R105" i="1"/>
  <c r="S104" i="1"/>
  <c r="R104" i="1"/>
  <c r="S16" i="1"/>
  <c r="R16" i="1"/>
  <c r="S103" i="1"/>
  <c r="R103" i="1"/>
  <c r="S102" i="1"/>
  <c r="R102" i="1"/>
  <c r="S9" i="1"/>
  <c r="R9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15" i="1"/>
  <c r="R15" i="1"/>
  <c r="S84" i="1"/>
  <c r="R84" i="1"/>
  <c r="S83" i="1"/>
  <c r="R83" i="1"/>
  <c r="T53" i="1"/>
  <c r="V53" i="1" s="1"/>
  <c r="S82" i="1"/>
  <c r="R82" i="1"/>
  <c r="T52" i="1"/>
  <c r="V52" i="1" s="1"/>
  <c r="S81" i="1"/>
  <c r="R81" i="1"/>
  <c r="T51" i="1"/>
  <c r="V51" i="1" s="1"/>
  <c r="S80" i="1"/>
  <c r="R80" i="1"/>
  <c r="T50" i="1"/>
  <c r="V50" i="1" s="1"/>
  <c r="S79" i="1"/>
  <c r="R79" i="1"/>
  <c r="V49" i="1"/>
  <c r="T49" i="1"/>
  <c r="U49" i="1" s="1"/>
  <c r="S78" i="1"/>
  <c r="R78" i="1"/>
  <c r="T48" i="1"/>
  <c r="V48" i="1" s="1"/>
  <c r="S77" i="1"/>
  <c r="R77" i="1"/>
  <c r="T47" i="1"/>
  <c r="U47" i="1" s="1"/>
  <c r="S76" i="1"/>
  <c r="R76" i="1"/>
  <c r="U46" i="1"/>
  <c r="T46" i="1"/>
  <c r="V46" i="1" s="1"/>
  <c r="S75" i="1"/>
  <c r="R75" i="1"/>
  <c r="U45" i="1"/>
  <c r="T45" i="1"/>
  <c r="V45" i="1" s="1"/>
  <c r="S74" i="1"/>
  <c r="R74" i="1"/>
  <c r="T44" i="1"/>
  <c r="V44" i="1" s="1"/>
  <c r="S73" i="1"/>
  <c r="R73" i="1"/>
  <c r="T43" i="1"/>
  <c r="V43" i="1" s="1"/>
  <c r="S72" i="1"/>
  <c r="R72" i="1"/>
  <c r="T42" i="1"/>
  <c r="V42" i="1" s="1"/>
  <c r="S71" i="1"/>
  <c r="R71" i="1"/>
  <c r="T41" i="1"/>
  <c r="U41" i="1" s="1"/>
  <c r="S70" i="1"/>
  <c r="R70" i="1"/>
  <c r="U40" i="1"/>
  <c r="T40" i="1"/>
  <c r="V40" i="1" s="1"/>
  <c r="S69" i="1"/>
  <c r="R69" i="1"/>
  <c r="T39" i="1"/>
  <c r="V39" i="1" s="1"/>
  <c r="S68" i="1"/>
  <c r="R68" i="1"/>
  <c r="T38" i="1"/>
  <c r="V38" i="1" s="1"/>
  <c r="S67" i="1"/>
  <c r="R67" i="1"/>
  <c r="T37" i="1"/>
  <c r="V37" i="1" s="1"/>
  <c r="S66" i="1"/>
  <c r="R66" i="1"/>
  <c r="T36" i="1"/>
  <c r="V36" i="1" s="1"/>
  <c r="S65" i="1"/>
  <c r="R65" i="1"/>
  <c r="T35" i="1"/>
  <c r="U35" i="1" s="1"/>
  <c r="S64" i="1"/>
  <c r="R64" i="1"/>
  <c r="T34" i="1"/>
  <c r="V34" i="1" s="1"/>
  <c r="S63" i="1"/>
  <c r="R63" i="1"/>
  <c r="T33" i="1"/>
  <c r="U33" i="1" s="1"/>
  <c r="S62" i="1"/>
  <c r="R62" i="1"/>
  <c r="T32" i="1"/>
  <c r="V32" i="1" s="1"/>
  <c r="S61" i="1"/>
  <c r="R61" i="1"/>
  <c r="V31" i="1"/>
  <c r="T31" i="1"/>
  <c r="U31" i="1" s="1"/>
  <c r="S60" i="1"/>
  <c r="R60" i="1"/>
  <c r="T30" i="1"/>
  <c r="V30" i="1" s="1"/>
  <c r="S59" i="1"/>
  <c r="R59" i="1"/>
  <c r="T29" i="1"/>
  <c r="V29" i="1" s="1"/>
  <c r="S58" i="1"/>
  <c r="R58" i="1"/>
  <c r="U28" i="1"/>
  <c r="T28" i="1"/>
  <c r="V28" i="1" s="1"/>
  <c r="S57" i="1"/>
  <c r="R57" i="1"/>
  <c r="T27" i="1"/>
  <c r="V27" i="1" s="1"/>
  <c r="S56" i="1"/>
  <c r="R56" i="1"/>
  <c r="T26" i="1"/>
  <c r="V26" i="1" s="1"/>
  <c r="S55" i="1"/>
  <c r="R55" i="1"/>
  <c r="T25" i="1"/>
  <c r="U25" i="1" s="1"/>
  <c r="S54" i="1"/>
  <c r="R54" i="1"/>
  <c r="T24" i="1"/>
  <c r="V24" i="1" s="1"/>
  <c r="S53" i="1"/>
  <c r="R53" i="1"/>
  <c r="T23" i="1"/>
  <c r="V23" i="1" s="1"/>
  <c r="S14" i="1"/>
  <c r="R14" i="1"/>
  <c r="T22" i="1"/>
  <c r="U22" i="1" s="1"/>
  <c r="S52" i="1"/>
  <c r="R52" i="1"/>
  <c r="T21" i="1"/>
  <c r="V21" i="1" s="1"/>
  <c r="S51" i="1"/>
  <c r="R51" i="1"/>
  <c r="T20" i="1"/>
  <c r="V20" i="1" s="1"/>
  <c r="S50" i="1"/>
  <c r="R50" i="1"/>
  <c r="T19" i="1"/>
  <c r="U19" i="1" s="1"/>
  <c r="S49" i="1"/>
  <c r="R49" i="1"/>
  <c r="T18" i="1"/>
  <c r="V18" i="1" s="1"/>
  <c r="S48" i="1"/>
  <c r="R48" i="1"/>
  <c r="T17" i="1"/>
  <c r="U17" i="1" s="1"/>
  <c r="S13" i="1"/>
  <c r="R13" i="1"/>
  <c r="B13" i="1"/>
  <c r="T16" i="1"/>
  <c r="U16" i="1" s="1"/>
  <c r="S47" i="1"/>
  <c r="R47" i="1"/>
  <c r="T15" i="1"/>
  <c r="V15" i="1" s="1"/>
  <c r="S46" i="1"/>
  <c r="R46" i="1"/>
  <c r="T14" i="1"/>
  <c r="U14" i="1" s="1"/>
  <c r="S12" i="1"/>
  <c r="R12" i="1"/>
  <c r="T13" i="1"/>
  <c r="V13" i="1" s="1"/>
  <c r="S45" i="1"/>
  <c r="R45" i="1"/>
  <c r="V12" i="1"/>
  <c r="T12" i="1"/>
  <c r="U12" i="1" s="1"/>
  <c r="S44" i="1"/>
  <c r="R44" i="1"/>
  <c r="T11" i="1"/>
  <c r="U11" i="1" s="1"/>
  <c r="S43" i="1"/>
  <c r="R43" i="1"/>
  <c r="T10" i="1"/>
  <c r="V10" i="1" s="1"/>
  <c r="S42" i="1"/>
  <c r="R42" i="1"/>
  <c r="U9" i="1"/>
  <c r="T9" i="1"/>
  <c r="V9" i="1" s="1"/>
  <c r="S11" i="1"/>
  <c r="R11" i="1"/>
  <c r="I2" i="1"/>
  <c r="S245" i="1" l="1"/>
  <c r="V17" i="1"/>
  <c r="U24" i="1"/>
  <c r="U29" i="1"/>
  <c r="U30" i="1"/>
  <c r="V33" i="1"/>
  <c r="U36" i="1"/>
  <c r="U44" i="1"/>
  <c r="V47" i="1"/>
  <c r="U51" i="1"/>
  <c r="U52" i="1"/>
  <c r="U53" i="1"/>
  <c r="V11" i="1"/>
  <c r="R245" i="1"/>
  <c r="U10" i="1"/>
  <c r="V14" i="1"/>
  <c r="V25" i="1"/>
  <c r="U38" i="1"/>
  <c r="V41" i="1"/>
  <c r="V22" i="1"/>
  <c r="U13" i="1"/>
  <c r="V16" i="1"/>
  <c r="V19" i="1"/>
  <c r="U32" i="1"/>
  <c r="V35" i="1"/>
  <c r="U48" i="1"/>
  <c r="U26" i="1"/>
  <c r="U42" i="1"/>
  <c r="U23" i="1"/>
  <c r="U39" i="1"/>
  <c r="U20" i="1"/>
  <c r="U27" i="1"/>
  <c r="U43" i="1"/>
  <c r="U21" i="1"/>
  <c r="U37" i="1"/>
  <c r="U15" i="1"/>
  <c r="U18" i="1"/>
  <c r="U34" i="1"/>
  <c r="U50" i="1"/>
</calcChain>
</file>

<file path=xl/sharedStrings.xml><?xml version="1.0" encoding="utf-8"?>
<sst xmlns="http://schemas.openxmlformats.org/spreadsheetml/2006/main" count="976" uniqueCount="520">
  <si>
    <t>UNIDADES</t>
  </si>
  <si>
    <t>PROXIMOS A VENCER</t>
  </si>
  <si>
    <t>N°</t>
  </si>
  <si>
    <t>COD</t>
  </si>
  <si>
    <t>PRODUCTO</t>
  </si>
  <si>
    <t>PORTAFOLIO</t>
  </si>
  <si>
    <t>PROMOCIÓN</t>
  </si>
  <si>
    <t>OFERTAS</t>
  </si>
  <si>
    <t>CÓDIGO DE BARRA</t>
  </si>
  <si>
    <t>FECHA DE VENCIMIENTO</t>
  </si>
  <si>
    <t>USO DEL PRODUCTO</t>
  </si>
  <si>
    <t>UNIDADES POR BULTO</t>
  </si>
  <si>
    <t>PRECIO UNITARIO EN BS</t>
  </si>
  <si>
    <t>PRECIO UNITARIO EN DIVISA</t>
  </si>
  <si>
    <t>UNIDADES DEL PEDIDO</t>
  </si>
  <si>
    <t>MONTO DEL PEDIDO EN BS</t>
  </si>
  <si>
    <t>MONTO DEL PEDIDO EN DIVISA</t>
  </si>
  <si>
    <t>PROMOCION 1X1</t>
  </si>
  <si>
    <t>ACE009</t>
  </si>
  <si>
    <t>ACECLOFENACO 100MG BLISTER X10 TAB (DROTAFARMA) IMP (E)</t>
  </si>
  <si>
    <t>C</t>
  </si>
  <si>
    <t>ANALGÉSICO - ANTIPIRÉTICO</t>
  </si>
  <si>
    <t>35 SKU CON DESCUENTOS APLICABLE PRONTO PAGO</t>
  </si>
  <si>
    <t>ACE006</t>
  </si>
  <si>
    <t>ACETAMINOFEN 500MG BLISTER X 10 TAB (DROTAFARMA) IMP (E)</t>
  </si>
  <si>
    <t>A</t>
  </si>
  <si>
    <t>31 SKU PROMO GANA CON BONUS</t>
  </si>
  <si>
    <t>ACI0011</t>
  </si>
  <si>
    <t>ACICLOVIR 200MG BLISTER X 10 TAB (DROTAFARMA) IMP (E)</t>
  </si>
  <si>
    <t>ANTIVIRAL</t>
  </si>
  <si>
    <t>ACI0012</t>
  </si>
  <si>
    <t>ACICLOVIR 400MG BLISTER X 10 TAB (DROTAFARMA) IMP (E)</t>
  </si>
  <si>
    <t>B</t>
  </si>
  <si>
    <t>ACI013</t>
  </si>
  <si>
    <t>ACIDO FOLICO 10MG/1ML AMP (I.M/I.V ) (DROTAFARMA) IMP (E)</t>
  </si>
  <si>
    <t>VITAMINAS -MINERALES</t>
  </si>
  <si>
    <t>ACID41</t>
  </si>
  <si>
    <t>ACIDO FOLICO 10MG/ML SOLUCION ORAL GOTAS X 30ML (DROTAFARMA) IMP (E)</t>
  </si>
  <si>
    <t>ACID40</t>
  </si>
  <si>
    <t>ACIDO FOLICO 5MG BLISTER X 10 TAB (DROTAFARMA) IMP (E)</t>
  </si>
  <si>
    <t>VALP001</t>
  </si>
  <si>
    <t>ACIDO VALPROICO 250/5ML JBE X 120ML (DROTAFARMA)IMP (E)</t>
  </si>
  <si>
    <t>SISTEMA NERVIOSO</t>
  </si>
  <si>
    <t>CLA005</t>
  </si>
  <si>
    <t>AEROMICIN 500MG (CLARITROMICINA) CAJA X 10 TAB (DROTAFARMA) IMP (E)</t>
  </si>
  <si>
    <t>ANTIBIOTICO</t>
  </si>
  <si>
    <t>LEV019</t>
  </si>
  <si>
    <t>AITIREX 100 (LEVOTIROXINA SODICA 100MCG ) CAJA X 50 TAB (DROTAFARMA) IMP (E)</t>
  </si>
  <si>
    <t>HORMONAL</t>
  </si>
  <si>
    <t>LEV022</t>
  </si>
  <si>
    <t>AITIREX 25 (LEVOTIROXINA SODICA 25MCG) CAJA X 50 TAB (DROTAFARMA) IMP (E)</t>
  </si>
  <si>
    <t>LEV018</t>
  </si>
  <si>
    <t>AITIREX 50 (LEVOTIROXINA SODICA 50MCG) CAJA X 50 TAB (DROTAFARMA) IMP (E)</t>
  </si>
  <si>
    <t>ALBE005</t>
  </si>
  <si>
    <t>ALBENDAZOL 400MG BLISTER X 10 TAB (DROTAFARMA) IMP (E)</t>
  </si>
  <si>
    <t>GASTROENTEROLOGICA</t>
  </si>
  <si>
    <t>ALO007</t>
  </si>
  <si>
    <t>ALOPURINOL 300MG BLISTER X 10 TAB (DROTAFARMA) IMP (E)</t>
  </si>
  <si>
    <t>CARDIOMETABOLICOS</t>
  </si>
  <si>
    <t>MEM001</t>
  </si>
  <si>
    <t>ALZENOR 10 (MEMANTINA 10MG) CAJA X 28 TAB (DROTAFARMA) IMP (E)</t>
  </si>
  <si>
    <t>AMA02</t>
  </si>
  <si>
    <t>AMAPOLA-FEM (DROSPIRENONA 3MG+ ETI 0,02 MG) CAJA X 28 TAB (DROTAFARMA) IMP (E )</t>
  </si>
  <si>
    <t>AMB011</t>
  </si>
  <si>
    <t>AMBROXOL + LORATADINA (30MG+5MG)/5ML X 120ML (DROTAFARMA) IMP (E)</t>
  </si>
  <si>
    <t>SISTEMA RESPIRATORIO</t>
  </si>
  <si>
    <t>AMB012</t>
  </si>
  <si>
    <t>AMBROXOL 15MG/5ML X 120ML JBE (DROTAFARMA) IMP (E)</t>
  </si>
  <si>
    <t>BAJARON DE PRECIO</t>
  </si>
  <si>
    <t>AMIK005</t>
  </si>
  <si>
    <t>AMIKACINA 500MG/2ML (IM-IV) X 1 AMP (DROTAFARMA) IMP (E)</t>
  </si>
  <si>
    <t>AMI001</t>
  </si>
  <si>
    <t>AMIODARONA 200MG BLISTER X 10 TAB (DROTAFARMA) IMP (E)</t>
  </si>
  <si>
    <t>AML008</t>
  </si>
  <si>
    <t>AMLODIPINA 10MG BLISTER X 10 TAB (DROTAFARMA) IMP (E)</t>
  </si>
  <si>
    <t>AMLO011</t>
  </si>
  <si>
    <t>AMLODIPINA 10MG CAJA X 30 TAB (DROTAFARMA) IMP (E)</t>
  </si>
  <si>
    <t>AMLO01</t>
  </si>
  <si>
    <t>AMLODIPINA 5MG BLISTER X 10 TAB (DROTAFARMA) IMP (E )</t>
  </si>
  <si>
    <t>AMOX01</t>
  </si>
  <si>
    <t>AMOXICILINA 500MG BLISTER X 10 CAP (DROTAFARMA) IMP (E)</t>
  </si>
  <si>
    <t>AMO018</t>
  </si>
  <si>
    <t>AMOXICILINA+ACIDO CLA. 500MG+125MG CAJA X 14 TAB (DROTAFARMA) IMP (E)</t>
  </si>
  <si>
    <t>AMP008</t>
  </si>
  <si>
    <t>AMPICILINA +SULBACTAM 1.5 GR POLVO X 1 VIAL I.V/I.M (DROTAFARMA) IMP (E)</t>
  </si>
  <si>
    <t>AMP007</t>
  </si>
  <si>
    <t>AMPICILINA 500MG BLISTER X 10 CAP (DROTAFARMA) IMP (E)</t>
  </si>
  <si>
    <t>ATE004</t>
  </si>
  <si>
    <t>ATENOLOL 100MG BLISTER X 10 TAB (DROTAFARMA) IMP (E)</t>
  </si>
  <si>
    <t>ATE006</t>
  </si>
  <si>
    <t>ATENOLOL 100MG CAJA X 30 TAB (DROTAFARMA) IMP (E)</t>
  </si>
  <si>
    <t>ATE009</t>
  </si>
  <si>
    <t>ATENOLOL 50MG BLISTER X 10 TAB (DROTAFARMA) IMP (E)</t>
  </si>
  <si>
    <t>ATE008</t>
  </si>
  <si>
    <t>ATENOLOL 50MG CAJA X 30 TAB (DROTAFARMA) IMP (E)</t>
  </si>
  <si>
    <t>ATOR004</t>
  </si>
  <si>
    <t>ATORVASTATINA 20 MG BLISTER X 10 TAB (DROTAFARMA) IMP (E)</t>
  </si>
  <si>
    <t>ATOR003</t>
  </si>
  <si>
    <t>ATORVASTATINA 80MG BLISTER X 10 TAB (DROTAFARMA) IMP (E)</t>
  </si>
  <si>
    <t>ATOR006</t>
  </si>
  <si>
    <t>ATORVASTATINA 80MG CAJA X 20 TAB (DROTAFARMA) IMP (E)</t>
  </si>
  <si>
    <t>CAR002</t>
  </si>
  <si>
    <t>AVANTINA (L-CARNITINA 500MG/5ML) JBE X 120ML (DROTAFARMA)IMP (E)</t>
  </si>
  <si>
    <t>AZI004</t>
  </si>
  <si>
    <t>AZITROMICINA 500MG CAJA X 3 TAB (DROTAFARMA) IMP (E)</t>
  </si>
  <si>
    <t>BAC003</t>
  </si>
  <si>
    <t>BACIGERMINA PLUS SUSP ORAL 4000 M/ 5ML CAJA X 5 AMP (DROTAFARMA) IMP (E)</t>
  </si>
  <si>
    <t>BAC001</t>
  </si>
  <si>
    <t>BACIGERMINA SUSP ORAL 2000M / 5ML CAJA X 10 AMP (DROTAFARMA) IMP (E)</t>
  </si>
  <si>
    <t>BAC004</t>
  </si>
  <si>
    <t>BACITRACINA ZINC 500 UI UNGÜENTO TOPICO 15GR (DROTAFARMA) IMP (E )</t>
  </si>
  <si>
    <t>DERMATOLÓGICO</t>
  </si>
  <si>
    <t>BET004</t>
  </si>
  <si>
    <t>BETAHISTINA 16 MG BLISTER X 10 TAB (DROTAFARMA) IMP(E)</t>
  </si>
  <si>
    <t>BET003</t>
  </si>
  <si>
    <t>BETAMETASONA 4MG/1ML (IM/IV) X 1 AMP (DROTAFARMA) IMP (E)</t>
  </si>
  <si>
    <t>ANTIALERGICO - CORTICOSTEROIDE</t>
  </si>
  <si>
    <t>DER005</t>
  </si>
  <si>
    <t>BETAMETASONA DIPROPIONATO 0,05% CREMA 15 GR (DROTAFARMA ) IMP (E)</t>
  </si>
  <si>
    <t>BIS011</t>
  </si>
  <si>
    <t>BISACODILO 5MG BLISTER X 10 TAB (DROTAFARMA) IMP (E)</t>
  </si>
  <si>
    <t>BRO020</t>
  </si>
  <si>
    <t>BROMHEXINA JBE 4MG/5ML X 120 ML (DROTAFARMA) IMP (E)</t>
  </si>
  <si>
    <t>BRO021</t>
  </si>
  <si>
    <t>BROMHEXINA JBE 8MG/5ML X 120 ML (DROTAFARMA ) IMP (E)</t>
  </si>
  <si>
    <t>BUD002</t>
  </si>
  <si>
    <t>BUDESONIDA 1MG/ML SUSPENSIÓN PARA INHALAR X 10ML (DROTAFARMA) IMP (E )</t>
  </si>
  <si>
    <t>BUD001</t>
  </si>
  <si>
    <t>BUDESONIDA 200MCG INHALADOR 200 DOSIS (DROTAFARMA) IMP (E)</t>
  </si>
  <si>
    <t>GLU002</t>
  </si>
  <si>
    <t>CALCIONI-D (CALCIO + VITAMINA D3 500MG/200UI ) BLISTER X 10 TAB (DROTAFARMA) IMP (E)</t>
  </si>
  <si>
    <t>CAP003</t>
  </si>
  <si>
    <t>CAPTOPRIL 25MG BLISTER X 10 TAB (DROTAFARMA) IMP (E)</t>
  </si>
  <si>
    <t>CAP004</t>
  </si>
  <si>
    <t>CAPTOPRIL 50MG BLISTER X 10 TAB (DROTAFARMA) IMP (E)</t>
  </si>
  <si>
    <t>CAR021</t>
  </si>
  <si>
    <t>CARBAMAZEPINA 200MG BLISTER X 10 TAB (DROTAFARMA) IMP (E)</t>
  </si>
  <si>
    <t>CARV003</t>
  </si>
  <si>
    <t>CARVEDILOL 12.5MG BLISTER X 10 TAB (DROTAFARMA) IMP (E)</t>
  </si>
  <si>
    <t>CARV006</t>
  </si>
  <si>
    <t>CARVEDILOL 12.5MG CAJA X 30 TAB (DROTAFARMA) IMP (E)</t>
  </si>
  <si>
    <t>CAR005</t>
  </si>
  <si>
    <t>CARVEDILOL 25 MG BLISTER X 10 TAB (DROTAFARMA) IMP (E)</t>
  </si>
  <si>
    <t>CAR006</t>
  </si>
  <si>
    <t>CARVEDILOL 25 MG CAJA X 30 TAB (DROTAFARMA) IMP (E)</t>
  </si>
  <si>
    <t>CARV004</t>
  </si>
  <si>
    <t>CARVEDILOL 6.25MG BLISTER X 10 TAB (DROTAFARMA) IMP (E)</t>
  </si>
  <si>
    <t>CARV005</t>
  </si>
  <si>
    <t>CARVEDILOL 6.25MG CAJA X 30 TAB (DROTAFARMA) IMP (E)</t>
  </si>
  <si>
    <t>CEF010</t>
  </si>
  <si>
    <t>CEFADROXILO 250MG/5ML 60ML SUSP (DROTAFARMA) IMP (E)</t>
  </si>
  <si>
    <t>CEF011</t>
  </si>
  <si>
    <t>CEFADROXILO 500MG BLISTER X 10 TAB (DROTAFARMA) IMP ( E)</t>
  </si>
  <si>
    <t>CEF022</t>
  </si>
  <si>
    <t>CEFALEXINA 500MG BLISTER X 10 CAPS (DROTAFARMA) IMP (E)</t>
  </si>
  <si>
    <t>CEF012</t>
  </si>
  <si>
    <t>CEFOTAXIMA 1G POLVO PARA SOLUCIÓN INYECTABLE IM/IV X 1 VIAL (DROTAFARMA) MP (E)</t>
  </si>
  <si>
    <t>CEF016</t>
  </si>
  <si>
    <t>CEFTRIAXONA 1GR X 1 AMP (I.M-I.V) (DROTAFARMA) IMP (E)</t>
  </si>
  <si>
    <t>CEL004</t>
  </si>
  <si>
    <t>CELECOXIB 200MG BLISTER X 10 TAB (DROTAFARMA) IMP (E)</t>
  </si>
  <si>
    <t>CET009</t>
  </si>
  <si>
    <t>CETIRIZINA 10MG BLISTER X 10 TAB (DROTAFARMA) IMP (E)</t>
  </si>
  <si>
    <t>CIN002</t>
  </si>
  <si>
    <t>CINARIZINA 25MG CAJA X 20 TAB (DROTAFARMA) IMP (E)</t>
  </si>
  <si>
    <t>CIN001</t>
  </si>
  <si>
    <t>CINARIZINA 75MG CAJA X 20 CAPS (DROTAFARMA) IMP (E)</t>
  </si>
  <si>
    <t>2X1</t>
  </si>
  <si>
    <t>CIP008</t>
  </si>
  <si>
    <t>CIPROFLOXACINA 200MG/100ML SOL INYECTABLE(I.V) X 100ML (DROTAFARMA) IMP (E)</t>
  </si>
  <si>
    <t>CIP006</t>
  </si>
  <si>
    <t>CIPROFLOXACINA 500MG BLISTER X 10 TAB (DROTAFARMA) IMP (E)</t>
  </si>
  <si>
    <t>NAF001</t>
  </si>
  <si>
    <t>CLARINAS (NAFAZOLINA NITRATO 1MG/ML) SOLUCION NASAL X 15ML (DROTAFARMA) IMP (E)</t>
  </si>
  <si>
    <t>CLI010</t>
  </si>
  <si>
    <t>CLINDAFEM (CLINDAMICINA 100MG ) CAJA X 7 OVULOS VAGINALES (DROTAFARMA) IMP (E)</t>
  </si>
  <si>
    <t>CLI009</t>
  </si>
  <si>
    <t>CLINDAMICINA 300MG BLISTER X 10 CAPS (DROTAFARMA) IMP (E)</t>
  </si>
  <si>
    <t>CLIN001</t>
  </si>
  <si>
    <t>CLINDAMICINA 600MG/4ML X 1 AMP (I.V/I.M) (DROTAFARMA) IMP (E)</t>
  </si>
  <si>
    <t>ANTIBIOTICOS</t>
  </si>
  <si>
    <t>CLO020</t>
  </si>
  <si>
    <t>CLONIDINA 0.15MG CAJA X 20 TAB (DROTAFARMA) IMP (E)</t>
  </si>
  <si>
    <t>CLO015</t>
  </si>
  <si>
    <t>CLOPIDOGREL 75MG BLISTER X 10 TAB (DROTAFARMA) IMP (E)</t>
  </si>
  <si>
    <t>CLO024</t>
  </si>
  <si>
    <t>CLORFENIRAMINA 4MG BLISTER X 10 TAB (DROTAFARMA) IMP (E)</t>
  </si>
  <si>
    <t>ANTIALERGICOS</t>
  </si>
  <si>
    <t>CLO021</t>
  </si>
  <si>
    <t>CLOTRIMAZOL 1% CREMA TOPICA 20GR (DROTAFARMA) IMP (E )</t>
  </si>
  <si>
    <t>ANTIMICOTICOS</t>
  </si>
  <si>
    <t>ACI016</t>
  </si>
  <si>
    <t>CORESAN (ACIDO ACETILSALICILICO 81 MG) FRASCO X 40 TAB (DROTAFARMA) IMP (E)</t>
  </si>
  <si>
    <t>DAG001</t>
  </si>
  <si>
    <t>DAY-GRIP (ACETAMINOFEN-CLORFENIRAMINA 125-MG-0.5MG/5ML) JBE X 120ML (DROTAFARMA) IMP (E)</t>
  </si>
  <si>
    <t>DEF001</t>
  </si>
  <si>
    <t>DEFLAZACORT 6MG BLISTER X 10 TAB (DROTAFARMA)IMP (E)</t>
  </si>
  <si>
    <t>DEF002</t>
  </si>
  <si>
    <t>DEFLAZACORT 6MG CAJA X 20 TAB (DROTAFARMA)IMP (E)</t>
  </si>
  <si>
    <t>DES011</t>
  </si>
  <si>
    <t>DESLORATADINA 5MG + MONTELUKAST 10MG CAJA X 30 TAB (DROTAFARMA) IMP (E)</t>
  </si>
  <si>
    <t>DES007</t>
  </si>
  <si>
    <t>DESLORATADINA 5MG BLISTER X 10TAB (DROTAFARMA) IMP (E)</t>
  </si>
  <si>
    <t>DES009</t>
  </si>
  <si>
    <t>DESLORATADINA 5MG CAJA X 20 TAB (DROTAFARMA) IMP (E)</t>
  </si>
  <si>
    <t>DEX001</t>
  </si>
  <si>
    <t>DEXAMETASONA 8MG/2ML X 1 AMP (DROTAFARMA) IMP (E)</t>
  </si>
  <si>
    <t>DIC0013</t>
  </si>
  <si>
    <t>DICLOFENAC POT 50MG BLISTER X 10 TAB (DROTAFARMA) IMP (E)</t>
  </si>
  <si>
    <t>ANALGÉSICO-ANTIPIRÉTICO</t>
  </si>
  <si>
    <t>DIC022</t>
  </si>
  <si>
    <t>DICLOFENAC POTASICO 75MG/3ML X 1 AMP (I.V/I.M) (DROTAFARMA) IMP (E)</t>
  </si>
  <si>
    <t>DIC025</t>
  </si>
  <si>
    <t>DICLOFENAC SODICO 100MG BLISTER X 10 TAB (DROTAFARMA) IMP (E)</t>
  </si>
  <si>
    <t>DIG004</t>
  </si>
  <si>
    <t>DIGOXINA 0.25 MG BLISTER X 10 TAB (DROTAFARMA) IMP ( E)</t>
  </si>
  <si>
    <t>DIP001</t>
  </si>
  <si>
    <t>DIPIRONA 1G/2ML X 1 AMP (I.V-I.M) (DROTAFARMA) IMP (E)</t>
  </si>
  <si>
    <t>DOM002</t>
  </si>
  <si>
    <t>DOMPERIDONA 10 MG BLISTER X 10 TAB (DROTAFARMA) IMP (E)</t>
  </si>
  <si>
    <t>DOX003</t>
  </si>
  <si>
    <t>DOXICICLINA 100MG CAJA X 10 CAPS (DROTAFARMA) IMP (E)</t>
  </si>
  <si>
    <t>DUS001</t>
  </si>
  <si>
    <t>DUTASTERIDA 0.5MG + TAMSULOSINA 0.4MG CAJA X 30 CAPS L.P (DROTAFARMA) IMP (E)</t>
  </si>
  <si>
    <t>UROLOGICA</t>
  </si>
  <si>
    <t>ENA011</t>
  </si>
  <si>
    <t>ENALAPRIL 10MG BLISTER X 10 TAB (DROTAFARMA) IMP (E)</t>
  </si>
  <si>
    <t>ENA010</t>
  </si>
  <si>
    <t>ENALAPRIL 20MG BLISTER X 10 TAB (DROTAFARMA) IMP (E)</t>
  </si>
  <si>
    <t>ESO003</t>
  </si>
  <si>
    <t>ESOMEPRAZOL 40MG BLISTER X 10 CAPS (DROTAFARMA) IMP (E)</t>
  </si>
  <si>
    <t>ESP003</t>
  </si>
  <si>
    <t>ESPIRONOLACTONA 25MG BLISTER X 10 TAB (DROTAFARMA) IMP (E)</t>
  </si>
  <si>
    <t>ESP004</t>
  </si>
  <si>
    <t>ESPIRONOLACTONA 25MG CAJA X 30 TAB (DROTAFARMA) IMP (E)</t>
  </si>
  <si>
    <t>ETO003</t>
  </si>
  <si>
    <t>ETORICOXIB 60 MG CAJA X 10 TAB (DROTAFARMA) IMP (E)</t>
  </si>
  <si>
    <t>FAM003</t>
  </si>
  <si>
    <t>FAMOTIDINA 40MG BLISTER X 10 TAB (DROTAFARMA) IMP (E)</t>
  </si>
  <si>
    <t>FIN004</t>
  </si>
  <si>
    <t>FINALGRIP (PARACETAMOL+CETIRIZINA+FENILEFRINA) CAJA X 10 TAB (DROTAFARMA) IMP (E )</t>
  </si>
  <si>
    <t>FIN014</t>
  </si>
  <si>
    <t>FINALGRIP DIA DISPENSADOR ((PARACETAMOL+DEXTROMETORFANO+FENILEFRINA) CAJA X 25 SOBRE (DROTAFARMA) IMP (E )</t>
  </si>
  <si>
    <t>FIN005</t>
  </si>
  <si>
    <t>FINALGRIP FORTE (PARACETAMOL+CETIRIZINA+FENILEFRINA+DEXTROMETORFANO) CAJA X 10 TAB (DROTAFARMA) IMP (E )</t>
  </si>
  <si>
    <t>FIN013</t>
  </si>
  <si>
    <t>FINALGRIP NOCHE DISPENSADOR (PARACETAMOL+FENIRAMINA+FENILEFRINA) CAJA X 25 SOBRE (DROTAFARMA) IMP (E )</t>
  </si>
  <si>
    <t>FIN006</t>
  </si>
  <si>
    <t>FINASTERIDA 5MG CAJA X 30 TAB (DROTAFARMA) IMP (E)</t>
  </si>
  <si>
    <t>DIC0021</t>
  </si>
  <si>
    <t>FIXADOL (DICLOFENAC 1% ) GEL 20GR (DROTAFARMA) IMP (E)</t>
  </si>
  <si>
    <t>ANALGESICO ANTIFLAMATARIO</t>
  </si>
  <si>
    <t>DIC013</t>
  </si>
  <si>
    <t>FIXADOL (DICLOFENAC ACIDO LIBRE 1.8MG/ML ) JBE X 120ML (DROTAFARMA) IMP (E)</t>
  </si>
  <si>
    <t>DIC0017</t>
  </si>
  <si>
    <t>FIXADOL (DICLOFENAC POT 50MG) CAJA X 20 CAPS (DROTAFARMA) IMP (E)</t>
  </si>
  <si>
    <t>FLA37</t>
  </si>
  <si>
    <t>FLAVOXATO 200MG BLISTER X 10 TAB (DROTAFARMA) IMP (E)</t>
  </si>
  <si>
    <t>FLO003</t>
  </si>
  <si>
    <t>FLORINA ANTICONCEP (LEVO 0.15/ ETINI 0.03 ) CAJA X 21 TAB (DROTAFARMA) IMP (E)</t>
  </si>
  <si>
    <t>FLO004</t>
  </si>
  <si>
    <t>FLORINA-L ANTICONCEP (LEVO 0.10/ ETINI 0.02) CAJA X 21 TAB (DROTAFARMA) IMP (E)</t>
  </si>
  <si>
    <t>FLU008</t>
  </si>
  <si>
    <t>FLUCONAZOL 150MG BLISTER X 10 TAB (DROTAFARMA) IMP (E)</t>
  </si>
  <si>
    <t>FLU007</t>
  </si>
  <si>
    <t>FLUCONAZOL 150MG CAJA X 1 TAB (DROTAFARMA) IMP (E)</t>
  </si>
  <si>
    <t>FLU014</t>
  </si>
  <si>
    <t>FLUCONAZOL 200MG CAJA X 4 TAB (DROTAFARMA) IMP (E)</t>
  </si>
  <si>
    <t>FLUO02</t>
  </si>
  <si>
    <t>FLUOXETINA 20MG BLISTER X 10 TAB (DROTAFARMA) IMP (E)</t>
  </si>
  <si>
    <t>FLUO014</t>
  </si>
  <si>
    <t>FUNLIN 150 (FLUCONAZOL 150MG) CAJA X 2 CAPS (DROTAFARMA) IMP (E)</t>
  </si>
  <si>
    <t>FLU012</t>
  </si>
  <si>
    <t>FUNLIN 200 (FLUCONAZOL 200MG) CAJA X 4 CAPS (DROTAFARMA) IMP (E)</t>
  </si>
  <si>
    <t>FUR007</t>
  </si>
  <si>
    <t>FUROSEMIDA 40MG BLISTER X 10 TAB (DROTAFARMA) IMP (E)</t>
  </si>
  <si>
    <t>FUR008</t>
  </si>
  <si>
    <t>FUROSEMIDA AMP 20MG/2ML X 1 AMP (I.V/I.M) (DROTAFARMA) IMP (E)</t>
  </si>
  <si>
    <t>GAB002</t>
  </si>
  <si>
    <t>GABAPENTINA 300 MG BLISTER X 10 CAPS (DROTAFARMA) IMP (E )</t>
  </si>
  <si>
    <t>PRO011</t>
  </si>
  <si>
    <t>GARDENIA FEM 100 ( PROGESTERONA 100MG) CAJA X 10 CAPS BLANDAS (DROTAFARMA) IMP (E)</t>
  </si>
  <si>
    <t>PRO012</t>
  </si>
  <si>
    <t>GARDENIA FEM 200 ( PROGESTERONA 200MG) CAJA X 10 CAPS BLANDAS (DROTAFARMA) IMP (E)</t>
  </si>
  <si>
    <t>GLI013</t>
  </si>
  <si>
    <t>GLIBENCLAMIDA 5MG BLISTER X 10 TAB (DROTAFARMA) IMP (E)</t>
  </si>
  <si>
    <t>GLI016</t>
  </si>
  <si>
    <t>GLICLAZIDA 80MG BLISTER X 10 TAB (DROTAFARMA) IMP (E)</t>
  </si>
  <si>
    <t>GLI011</t>
  </si>
  <si>
    <t>GLIMEPIRIDA 4MG BLISTER X 10 TAB (DROTAFARMA) IMP (E)</t>
  </si>
  <si>
    <t>CLO025</t>
  </si>
  <si>
    <t>GYNO CANDERM (CLOTRIMAZOL 100MG) CAJA X 7 OVULOS VAGINALES (DROTAFARMA) IMP (E)</t>
  </si>
  <si>
    <t>CLO022</t>
  </si>
  <si>
    <t>GYNO CANDERM (CLOTRIMAZOL 2%) CREMA VAGINAL 20GR (DROTAFARMA) IMP (E)</t>
  </si>
  <si>
    <t>HAL001</t>
  </si>
  <si>
    <t>HALOPERIDOL 5MG/1ML X1 AMP (I.V/I.M) (DROTAFARMA) IMP ( E)</t>
  </si>
  <si>
    <t>HID0017</t>
  </si>
  <si>
    <t>HIDROCLOROTIAZIDA 25MG BLISTER X 10 TAB (DROTAFARMA) IMP (E)</t>
  </si>
  <si>
    <t>HID0018</t>
  </si>
  <si>
    <t>HIDROCLOROTIAZIDA 25MG CAJA X 30 TAB (DROTAFARMA) IMP (E)</t>
  </si>
  <si>
    <t>HID014</t>
  </si>
  <si>
    <t>HIDROCORTISONA 1% CREMA TOPICA 15 GRS (DROTAFARMA) IMP (E)</t>
  </si>
  <si>
    <t>HID007</t>
  </si>
  <si>
    <t>HIDROCORTISONA 500 MG X 1 AMP (I.V/I.M) (DROTAFARMA) IMP (E)</t>
  </si>
  <si>
    <t>HID008</t>
  </si>
  <si>
    <t>HIDROLIT (SOLUCION ELECTROLITICA) ORAL COCO X 500ML (DROTAFARMA) IMP (E)</t>
  </si>
  <si>
    <t>HID009</t>
  </si>
  <si>
    <t>HIDROLIT (SOLUCION ELECTROLITICA) ORAL MANZANA X 500ML (DROTAFARMA) IMP (E)</t>
  </si>
  <si>
    <t>HID010</t>
  </si>
  <si>
    <t>HIDROLIT (SOLUCION ELECTROLITICA) ORAL NARANJA X 500ML (DROTAFARMA) IMP (E)</t>
  </si>
  <si>
    <t>SAL012</t>
  </si>
  <si>
    <t>HIDROLIT FRESA DISPENSADOR (SALES DE REHIDRATACION ORAL) X 10 SOBRES 21.5 GR (DROTAFARMA) IMP (E )</t>
  </si>
  <si>
    <t>GASTROENTEROLOGIA</t>
  </si>
  <si>
    <t>SAL010</t>
  </si>
  <si>
    <t>HIDROLIT NARANJA DISPENSADOR (SALES DE REHIDRATACION ORAL) X 10 SOBRE 21.5 GR (DROTAFARMA) IMP (E )</t>
  </si>
  <si>
    <t>SAL011</t>
  </si>
  <si>
    <t>HIDROLIT SIN SABOR DISPENSADOR (SALES DE REHIDRATACION ORAL) X 10 SOBRE 20.6 GR (DROTAFARMA) IMP (E )</t>
  </si>
  <si>
    <t>IBU015</t>
  </si>
  <si>
    <t>IBUPROFENO 100MG/5ML SUSP X 60 ML (DROTAFARMA) IMP (E)</t>
  </si>
  <si>
    <t>IBU021</t>
  </si>
  <si>
    <t>IBUPROFENO 600MG BLISTER X 10 TAB (DROTAFARMA) IMP (E)</t>
  </si>
  <si>
    <t>IBU0012</t>
  </si>
  <si>
    <t>IBUPROFENO 800MG BLISTER X 10 TAB (DROTAFARMA) IMP (E)</t>
  </si>
  <si>
    <t>IRB006</t>
  </si>
  <si>
    <t>IRBESARTAN 150MG CAJA X 10 TAB (DROTAFARMA) IMP (E)</t>
  </si>
  <si>
    <t>IRB004</t>
  </si>
  <si>
    <t>IRBESARTAN 300MG CAJA X 10 TAB (DROTAFARMA) IMP (E)</t>
  </si>
  <si>
    <t>ITRA002</t>
  </si>
  <si>
    <t>ITRACONAZOL 100MG BLISTER X 10 CAPS (DROTAFARMA) IMP (E)</t>
  </si>
  <si>
    <t>KET007</t>
  </si>
  <si>
    <t>KETOROLACO 20 MG CAJA X 10 TAB (DROTAFARMA) IMP (E)</t>
  </si>
  <si>
    <t>LAN003</t>
  </si>
  <si>
    <t>LANSOPRAZOL 30MG L.P BLISTER X 10 CAPS (DROTAFARMA) IMP (E)</t>
  </si>
  <si>
    <t>LEF001</t>
  </si>
  <si>
    <t>LEFLUNOMIDA 20MG FRASCO X 30 TAB (DROTAFARMA) IMP (E)</t>
  </si>
  <si>
    <t>ANTIRREUMATICO - ANTIARTRITICO</t>
  </si>
  <si>
    <t>LER001</t>
  </si>
  <si>
    <t>LERCANIDIPINO 10MG CAJA X 10 TAB (DROTAFARMA) IMP (E)</t>
  </si>
  <si>
    <t>LEV014</t>
  </si>
  <si>
    <t>LEVAFLINA 500 (LEVOFLOXACINA 500MG ) CAJA X 5 TAB (DROTAFARMA) IMP (E)</t>
  </si>
  <si>
    <t>LEV011</t>
  </si>
  <si>
    <t>LEVETIRACETAM 1000 MG BLISTER X 10 TAB (DROTAFARMA) IMP(E)</t>
  </si>
  <si>
    <t>LEV020</t>
  </si>
  <si>
    <t>LEVETIRACETAM 100MG/ML JBE X 200ML (DROTAFARMA) IMP (E)</t>
  </si>
  <si>
    <t>LEV010</t>
  </si>
  <si>
    <t>LEVETIRACETAM 500 MG BLISTER X 10 TAB (DROTAFARMA) IMP(E)</t>
  </si>
  <si>
    <t>LEV021</t>
  </si>
  <si>
    <t>LEVOFLOXACINA 500MG BLISTER X 10 TAB (DROTAFARMA) IMP (E)</t>
  </si>
  <si>
    <t>LEV013</t>
  </si>
  <si>
    <t>LEVOFLOXACINA 500MG/100ML SOL INYECTABLE (I.V) X 100ML (DROTAFARMA) IMP (E)</t>
  </si>
  <si>
    <t>LEV016</t>
  </si>
  <si>
    <t>LEVOFLOXACINA 750MG CAJA X 10 TAB (DROTAFARMA) IMP (E)</t>
  </si>
  <si>
    <t>LIS012</t>
  </si>
  <si>
    <t>LISINOPRIL 10MG BLISTER X 10 TAB (DROTAFARMA) IMP (E)</t>
  </si>
  <si>
    <t>LIS011</t>
  </si>
  <si>
    <t>LISINOPRIL 20MG BLISTER X 10 TAB (DROTAFARMA) IMP (E)</t>
  </si>
  <si>
    <t>LEV023</t>
  </si>
  <si>
    <t>LIVANOR (LEVONORGESTREL1.5MG) CAJA X 1 TAB (DROTAFARMA) IMP (E )</t>
  </si>
  <si>
    <t>LOP004</t>
  </si>
  <si>
    <t>LOPRIX (LOPERAMIDA 2MG) CAJA X 25 BLISTER X 4 TAB (DROTAFARMA) IMP (E)</t>
  </si>
  <si>
    <t>LOR026</t>
  </si>
  <si>
    <t>LORATADINA 10MG BLISTER X 10 TAB (DROTAFARMA) IMP (E)</t>
  </si>
  <si>
    <t>LOR016</t>
  </si>
  <si>
    <t>LORATADINA 5MG/5ML JARABE X 60 ML (DROTAFARMA) IMP (E)</t>
  </si>
  <si>
    <t>LOS003</t>
  </si>
  <si>
    <t>LOSARTAN POTASICO 100 MG BLISTER X 10 TAB (DROTAFARMA) IMP (E)</t>
  </si>
  <si>
    <t>MEL004</t>
  </si>
  <si>
    <t>MELOXICAM 15MG BLISTER X 10 TAB (DROTAFARMA) IMP (E)</t>
  </si>
  <si>
    <t>MER002</t>
  </si>
  <si>
    <t>MEROPENEM 1GR X 1 AMP (I.V) (DROTAFARMA) IMP ( E)</t>
  </si>
  <si>
    <t>MET018</t>
  </si>
  <si>
    <t>METFORMINA 500MG BLISTER X 15 TAB (DROTAFARMA) IMP (E)</t>
  </si>
  <si>
    <t>MET020</t>
  </si>
  <si>
    <t>METFORMINA 500MG CAJA X 30 TAB (DROTAFARMA) IMP (E)</t>
  </si>
  <si>
    <t>MET021</t>
  </si>
  <si>
    <t>METFORMINA 500MG L.P CAJA X 30 TAB (DROTAFARMA) IMP (E)</t>
  </si>
  <si>
    <t>MET016</t>
  </si>
  <si>
    <t>METFORMINA 850MG BLISTER X 10 TAB (DROTAFARMA) IMP (E)</t>
  </si>
  <si>
    <t>MET0012</t>
  </si>
  <si>
    <t>METOCLOPRAMIDA 10MG BLISTER X 10 TAB (DROTAFARMA) IMP (E)</t>
  </si>
  <si>
    <t>MET009</t>
  </si>
  <si>
    <t>METRONIDAZOL 500MG BLISTER X 10 TAB (DROTAFARMA) IMP (E)</t>
  </si>
  <si>
    <t>MET012</t>
  </si>
  <si>
    <t>METRONIDAZOL 500MG/100ML SOL INYECTABLE (I.V) X 100ML (DROTAFARMA) IMP (E)</t>
  </si>
  <si>
    <t>MET0013</t>
  </si>
  <si>
    <t>METRONIDAZOL 500MG+ NISTATINA 100.000 U.I CAJA X 10 OVULOS (DROTAFARMA) IMP (E)</t>
  </si>
  <si>
    <t>MONT001</t>
  </si>
  <si>
    <t>MONTELUKAST SODICO 10MG BLISTER X 10 TAB (DROTAFARMA) IMP (E)</t>
  </si>
  <si>
    <t>MUL002</t>
  </si>
  <si>
    <t>MULTIVITAMINAS BLISTER X 10 TAB (DROTAFARMA)IMP (E)</t>
  </si>
  <si>
    <t>NAP001</t>
  </si>
  <si>
    <t>NAPROXENO 500MG BLISTER X 10 TAB (DROTAFARMA) IMP (E)</t>
  </si>
  <si>
    <t>BUT007</t>
  </si>
  <si>
    <t>N-BUTILBROMURO DE HIOSCINA 10MG BLISTER X 10 TAB (DROTAFARMA) IMP (E)</t>
  </si>
  <si>
    <t>NEO002</t>
  </si>
  <si>
    <t>NEODOLEN (METAMIZOL SODICO 500MG) CAJA X 10 TAB (DROTAFARMA) IMP (E)</t>
  </si>
  <si>
    <t>NIF008</t>
  </si>
  <si>
    <t>NIFEDINE 30 (NIFEDIPINA 30MG L.P) CAJA X 30 TAB (DROTAFARMA) IMP (E)</t>
  </si>
  <si>
    <t>NIF006</t>
  </si>
  <si>
    <t>NIFEDIPINA 10MG BLISTER X 10 TAB (DROTAFARMA) IMP (E)</t>
  </si>
  <si>
    <t>NIS003</t>
  </si>
  <si>
    <t>NISTATINA 100,000 U.I/G CREMA TOPICA X 30GR (DROTAFARMA) IMP (E)</t>
  </si>
  <si>
    <t>NIST038</t>
  </si>
  <si>
    <t>NISTATINA 100.000 UI/ML SUSP ORAL X 30ML (DROTAFARMA) IMP (E)</t>
  </si>
  <si>
    <t>NIT006</t>
  </si>
  <si>
    <t>NITAZOXANIDA 100MG/5ML SUSP ORAL X 60ML (DROTAFARMA) IMP (E)</t>
  </si>
  <si>
    <t>NIT004</t>
  </si>
  <si>
    <t>NITROFURANTOINA 100MG BLISTER X 10 TAB (DROTAFARMA) IMP (E)</t>
  </si>
  <si>
    <t>NITR06</t>
  </si>
  <si>
    <t>NITROFURANTOINA 50MG BLISTER X 10 TAB (DROTAFARMA) IMP (E)</t>
  </si>
  <si>
    <t>OLA002</t>
  </si>
  <si>
    <t>OLANZAPINA 10MG CAJA X 30 TAB (DROTAFARMA) IMP (E)</t>
  </si>
  <si>
    <t>OLA003</t>
  </si>
  <si>
    <t>OLANZAPINA 5MG BLISTER X 10TAB (DROTAFARMA) IMP (E)</t>
  </si>
  <si>
    <t>OLA004</t>
  </si>
  <si>
    <t>OLANZAPINA 5MG CAJA X 30 TAB (DROTAFARMA) IMP (E)</t>
  </si>
  <si>
    <t>OLM08</t>
  </si>
  <si>
    <t>OLMESARTAN MEDOXOMILO 20MG BLISTER X 10 TAB (DROTAFARMA) IMP (E)</t>
  </si>
  <si>
    <t>OLM06</t>
  </si>
  <si>
    <t>OLMESARTAN MEDOXOMILO 40MG BLISTER X 10 TAB (DROTAFARMA) IMP (E)</t>
  </si>
  <si>
    <t>OME010</t>
  </si>
  <si>
    <t>OMEPRAZOL 20MG BLISTER X 10 CAPS (DROTAFARMA) IMP (E)</t>
  </si>
  <si>
    <t>OME012</t>
  </si>
  <si>
    <t>OMEPRAZOL 20MG FRASCO X 60 CAPS (DROTAFARMA) IMP (E )</t>
  </si>
  <si>
    <t>OME011</t>
  </si>
  <si>
    <t>OMEPRAZOL 40MG CAJA X 10 CAPS (DROTAFARMA) IMP (E)</t>
  </si>
  <si>
    <t>OME009</t>
  </si>
  <si>
    <t>OMEPRAZOL 40MG X 1 AMP (I.V) (DROTAFARMA) IMP (E)</t>
  </si>
  <si>
    <t>OXC003</t>
  </si>
  <si>
    <t>OXCARBAZEPINA 300MG BLISTER X 10 TAB (DROTAFARMA) IMP (E)</t>
  </si>
  <si>
    <t>PAN003</t>
  </si>
  <si>
    <t>PANTOPRAZOL 40MG BLISTER X 10 CAPS (DROTAFARMA) IMP (E)</t>
  </si>
  <si>
    <t>PAR006</t>
  </si>
  <si>
    <t>PARACETAMOL 500MG BLISTER X 10 TAB (DROTAFARMA) IMP (E)</t>
  </si>
  <si>
    <t>PEN004</t>
  </si>
  <si>
    <t>PENICILINA BENZATINICA 1.200.000 UI X 1 AMP (DROTAFARMA)IMP (E)</t>
  </si>
  <si>
    <t>PEN005</t>
  </si>
  <si>
    <t>PENICILINA BENZATINICA 2.400.000 UI X 1 AMP (DROTAFARMA)IMP (E)</t>
  </si>
  <si>
    <t>PIR002</t>
  </si>
  <si>
    <t>PIROXICAM 20MG BLISTER X 10 CAPS (DROTAFARMA) IMP (E)</t>
  </si>
  <si>
    <t>PRE008</t>
  </si>
  <si>
    <t>PREDIX (PREDNISOLONA 3MG/ML) JBE X 60 ML (DROTAFARMA) IMP (E)</t>
  </si>
  <si>
    <t>PRE009</t>
  </si>
  <si>
    <t>PREDNISOLONA 5MG BLISTER X 10 TAB (DROTAFARMA) IMP (E)</t>
  </si>
  <si>
    <t>PRE005</t>
  </si>
  <si>
    <t>PREGABALINA 150 MG BLISTER X 10 CAPS (DROTAFARMA) IMP (E)</t>
  </si>
  <si>
    <t>PRE006</t>
  </si>
  <si>
    <t>PREGABALINA 75 MG BLISTER X 10 CAPS (DROTAFARMA) IMP (E)</t>
  </si>
  <si>
    <t>PRE010</t>
  </si>
  <si>
    <t>PREGABALINA 75MG CAJA X 20 CAPS (DROTAFARMA) IMP (E)</t>
  </si>
  <si>
    <t xml:space="preserve"> </t>
  </si>
  <si>
    <t>PRO006</t>
  </si>
  <si>
    <t>PROPRANOLOL 40MG BLISTER X 10 TAB (DROTAFARMA) IMP (E)</t>
  </si>
  <si>
    <t>RAN005</t>
  </si>
  <si>
    <t>RANITIDINA 150MG BLISTER X 10 TAB (DROTAFARMA) IMP (E)</t>
  </si>
  <si>
    <t>RAN006</t>
  </si>
  <si>
    <t>RANITIDINA 300MG BLISTER X 10 TAB (DROTAFARMA) IMP (E)</t>
  </si>
  <si>
    <t>SAL005</t>
  </si>
  <si>
    <t>SALBUTAMOL 100MCG INHALADOR 200 DOSIS (DROTAFARMA) IMP (E)</t>
  </si>
  <si>
    <t>BIS012</t>
  </si>
  <si>
    <t>SANALAX (BISACODILO 5MG) CAJA X 20 TAB (DROTAFARMA) IMP (E)</t>
  </si>
  <si>
    <t>SEC007</t>
  </si>
  <si>
    <t>SECNIDAZOL 1GR CAJA X 2 TAB (DROTAFARMA) IMP (E)</t>
  </si>
  <si>
    <t>SEC008</t>
  </si>
  <si>
    <t>SECNIDAZOL 500MG CAJA X 4 TAB (DROTAFARMA) IMP (E)</t>
  </si>
  <si>
    <t>SER002</t>
  </si>
  <si>
    <t>SERTRALINA 50MG BLISTER X 10 TAB (DROTAFARMA) IMP (E)</t>
  </si>
  <si>
    <t>ANTIDEPRESIVO</t>
  </si>
  <si>
    <t>SIL005</t>
  </si>
  <si>
    <t>SILDENAFIL 50MG CAJA X 4 TAB (DROTAFARMA) IMP (E )</t>
  </si>
  <si>
    <t>SIT001</t>
  </si>
  <si>
    <t>SITAGLIPTINA+METFORMINA (50+500MG) BLISTER X 10 TAB (DROTAFARMA) IMP ( E)</t>
  </si>
  <si>
    <t>SOL003</t>
  </si>
  <si>
    <t>SOLUCION FISIOLOGICA 0.9% INYECTABLE I.V 500ML (DROTAFARMA) IMP (E)</t>
  </si>
  <si>
    <t>HOSPITALARIO</t>
  </si>
  <si>
    <t>TRI013</t>
  </si>
  <si>
    <t>SULMETRIN (SULFAMETOXAZOL 200MG+TRIMETOPRIM 40MG) SUSP X 120 ML (DROTAFARMA) IMP (E)</t>
  </si>
  <si>
    <t>TAD005</t>
  </si>
  <si>
    <t>TADALAFIL 5MG CAJA X 12 TAB (DROTAFARMA) IMP (E)</t>
  </si>
  <si>
    <t>CLOR01</t>
  </si>
  <si>
    <t>TAMSULOSINA 400MCG BLISTER X 10 TAB (DROTAFARMA) IMP (E)</t>
  </si>
  <si>
    <t>DOR002</t>
  </si>
  <si>
    <t>TENSOFTAL (DORZOLAMIDA 2% + TIMOLOL 0,5%) X 5ML SOLUCION OFT (DROTAFARMA) IMP ( E)</t>
  </si>
  <si>
    <t>OFTALMICA</t>
  </si>
  <si>
    <t>TIN001</t>
  </si>
  <si>
    <t>TINIDAZOL 500MG CAJA X 4 TAB (DROTAFARMA) IMP (E)</t>
  </si>
  <si>
    <t>IBU023</t>
  </si>
  <si>
    <t>TIODUO (IBUPROFENO+TIOCOLCHICOSIDO 600MG/4MG) CAJA X 20 TAB (DROTAFARMA) IMP (E)</t>
  </si>
  <si>
    <t>TRI009</t>
  </si>
  <si>
    <t>TRIALIVIO (GENTAMICINA 1MG +BETAMETASONA 0,5MG +CLOTRIMAZOL 10MG ) CREMA 30GR (DROTAFARMA) IMP (E)</t>
  </si>
  <si>
    <t>TRIM02</t>
  </si>
  <si>
    <t>TRIMEBUTINA 200MG CAJA X 20 TAB (DROTAFARMA) IMP (E)</t>
  </si>
  <si>
    <t>TRIM03</t>
  </si>
  <si>
    <t>TRIMEBUTINA 300MG L.P CAJA X 20 TAB (DROTAFARMA) IMP (E)</t>
  </si>
  <si>
    <t>TRI008</t>
  </si>
  <si>
    <t>TRIMETOPRIM SULFA 160MG/800MG BLISTER X 10 TAB (DROTAFARMA) IMP (E)</t>
  </si>
  <si>
    <t>TRI011</t>
  </si>
  <si>
    <t>TRIMETOPRIM SULFA 160MG/800MG CAJA X 20 TAB (DROTAFARMA) IMP (E)</t>
  </si>
  <si>
    <t>TRI007</t>
  </si>
  <si>
    <t>TRIMETOPRIM SULFA 80MG/400MG BLISTER X 10 TAB (DROTAFARMA) IMP (E)</t>
  </si>
  <si>
    <t>TRI012</t>
  </si>
  <si>
    <t>TRIMETOPRIM SULFA 80MG/400MG CAJA X 20 TAB (DROTAFARMA) IMP (E)</t>
  </si>
  <si>
    <t>VAL017</t>
  </si>
  <si>
    <t>VALACICLOVIR 500MG CAJA X 10 TAB (DROTAFARMA) IMP (E)</t>
  </si>
  <si>
    <t>VAL015</t>
  </si>
  <si>
    <t>VALSARTAN 160MG CAJA X 10 TAB (DROTAFARMA) IMP (E)</t>
  </si>
  <si>
    <t>VAL016</t>
  </si>
  <si>
    <t>VALSARTAN 160MG CAJA X 30 TAB (DROTAFARMA) IMP (E)</t>
  </si>
  <si>
    <t>DIOS04</t>
  </si>
  <si>
    <t>VENADUO (DIOSMINA-HESPER 450/50 MG) CAJA X 30 TAB (DROTAFARMA) IMP (E)</t>
  </si>
  <si>
    <t>VIT018</t>
  </si>
  <si>
    <t>VITALIT-B (COMPLEJO B ) CAJA X 30 TAB (DROTAFARMA) IMP(E)</t>
  </si>
  <si>
    <t>VIT020</t>
  </si>
  <si>
    <t>VITALIT-C (VITAMINA C 1GR) TUBO X 12 TAB EFERVESCENTE (DROTAFARMA) IMP (E)</t>
  </si>
  <si>
    <t>VIT0010</t>
  </si>
  <si>
    <t>VITALIT-C (VITAMINA C 500MG) TAB MASTICABLES FRASCO X 30 (DROTAFARMA) IMP (E)</t>
  </si>
  <si>
    <t>VID008</t>
  </si>
  <si>
    <t>VITALIT-D 2000UI (VITAMINA D3 2000UI) CAJA X 30 TAB (2X1) (DROTAFARMA) IMP (E)</t>
  </si>
  <si>
    <t>VIT007</t>
  </si>
  <si>
    <t>VITAMINA C 500MG/5ML X 1 AMP (I.V-I.M) (DROTAFARMA) IMP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</si>
</sst>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Bs.S-200A]#,##0.00"/>
    <numFmt numFmtId="165" formatCode="[$$-540A]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sto MT"/>
      <family val="1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4BED4"/>
      </left>
      <right style="thin">
        <color rgb="FFA4BED4"/>
      </right>
      <top style="thin">
        <color rgb="FFA4BED4"/>
      </top>
      <bottom style="thin">
        <color rgb="FFA4BED4"/>
      </bottom>
      <diagonal/>
    </border>
    <border>
      <left style="thin">
        <color rgb="FFA4BED4"/>
      </left>
      <right style="thin">
        <color rgb="FFA4BED4"/>
      </right>
      <top style="thin">
        <color rgb="FFA4BED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1" fontId="1" fillId="0" borderId="3" xfId="1" applyNumberFormat="1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0" fontId="0" fillId="0" borderId="0" xfId="1" applyNumberFormat="1" applyFon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3" xfId="0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9" fontId="0" fillId="0" borderId="0" xfId="1" applyFont="1" applyAlignment="1">
      <alignment wrapText="1"/>
    </xf>
    <xf numFmtId="0" fontId="9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14" fontId="13" fillId="0" borderId="3" xfId="0" applyNumberFormat="1" applyFont="1" applyBorder="1" applyAlignment="1">
      <alignment horizontal="center" vertical="center" wrapText="1"/>
    </xf>
    <xf numFmtId="14" fontId="14" fillId="2" borderId="3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 applyProtection="1">
      <alignment horizontal="center" vertical="center" wrapText="1"/>
      <protection locked="0"/>
    </xf>
    <xf numFmtId="165" fontId="11" fillId="3" borderId="3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5">
    <dxf>
      <fill>
        <patternFill patternType="solid">
          <fgColor rgb="FFF4B084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813025</xdr:colOff>
      <xdr:row>0</xdr:row>
      <xdr:rowOff>13607</xdr:rowOff>
    </xdr:from>
    <xdr:ext cx="3500880" cy="1107281"/>
    <xdr:pic>
      <xdr:nvPicPr>
        <xdr:cNvPr id="3" name="Imagen 2">
          <a:extLst>
            <a:ext uri="{FF2B5EF4-FFF2-40B4-BE49-F238E27FC236}">
              <a16:creationId xmlns:a16="http://schemas.microsoft.com/office/drawing/2014/main" id="{7678E70A-ED98-4A9C-8AA8-34CDFBC76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91500" y="13607"/>
          <a:ext cx="3500880" cy="1107281"/>
        </a:xfrm>
        <a:prstGeom prst="rect">
          <a:avLst/>
        </a:prstGeom>
        <a:effectLst>
          <a:outerShdw dist="50800" dir="5400000" sx="1000" sy="1000" algn="ctr" rotWithShape="0">
            <a:srgbClr val="000000">
              <a:alpha val="44000"/>
            </a:srgbClr>
          </a:outerShdw>
        </a:effectLst>
      </xdr:spPr>
    </xdr:pic>
    <xdr:clientData/>
  </xdr:oneCellAnchor>
  <xdr:twoCellAnchor editAs="oneCell">
    <xdr:from>
      <xdr:col>4</xdr:col>
      <xdr:colOff>357188</xdr:colOff>
      <xdr:row>0</xdr:row>
      <xdr:rowOff>120764</xdr:rowOff>
    </xdr:from>
    <xdr:to>
      <xdr:col>6</xdr:col>
      <xdr:colOff>4036218</xdr:colOff>
      <xdr:row>6</xdr:row>
      <xdr:rowOff>124165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9FFB970-252C-444D-A478-2F60C2629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6038" y="120764"/>
          <a:ext cx="5003005" cy="10797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min/Desktop/CLASIFICACION%20DE%20CLIENTES%20Y%20PRODUCTOS/CLASIFICACI&#211;N%20DE%20CLIENTES%20Y%20PRODUCTOS%20NACIONAL%20-%20copia.xlsx" TargetMode="External"/><Relationship Id="rId1" Type="http://schemas.openxmlformats.org/officeDocument/2006/relationships/externalLinkPath" Target="/Users/Admin/Desktop/CLASIFICACION%20DE%20CLIENTES%20Y%20PRODUCTOS/CLASIFICACI&#211;N%20DE%20CLIENTES%20Y%20PRODUCTOS%20NACIONAL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A DE CLIENT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68C9-7239-4805-9F31-6BBC740D21DC}">
  <sheetPr>
    <pageSetUpPr fitToPage="1"/>
  </sheetPr>
  <dimension ref="A1:Y253"/>
  <sheetViews>
    <sheetView showGridLines="0" tabSelected="1" zoomScale="75" zoomScaleNormal="75" workbookViewId="0">
      <selection activeCell="B8" sqref="B8:C8"/>
    </sheetView>
  </sheetViews>
  <sheetFormatPr baseColWidth="10" defaultRowHeight="15" x14ac:dyDescent="0.25"/>
  <cols>
    <col min="1" max="1" width="2.42578125" customWidth="1"/>
    <col min="2" max="2" width="17" customWidth="1"/>
    <col min="3" max="3" width="11.42578125" customWidth="1"/>
    <col min="4" max="4" width="2.5703125" customWidth="1"/>
    <col min="5" max="5" width="8.28515625" style="1" customWidth="1"/>
    <col min="6" max="6" width="11.5703125" style="1" customWidth="1"/>
    <col min="7" max="7" width="66" style="1" customWidth="1"/>
    <col min="8" max="8" width="22.140625" style="1" hidden="1" customWidth="1"/>
    <col min="9" max="9" width="18.42578125" style="1" bestFit="1" customWidth="1"/>
    <col min="10" max="10" width="14" style="1" hidden="1" customWidth="1"/>
    <col min="11" max="11" width="19.42578125" style="1" customWidth="1"/>
    <col min="12" max="12" width="18" style="1" customWidth="1"/>
    <col min="13" max="13" width="30.7109375" style="1" customWidth="1"/>
    <col min="14" max="14" width="15" style="1" customWidth="1"/>
    <col min="15" max="15" width="16" style="1" customWidth="1"/>
    <col min="16" max="16" width="15.5703125" style="1" customWidth="1"/>
    <col min="17" max="17" width="15.140625" style="31" customWidth="1"/>
    <col min="18" max="18" width="35" style="1" customWidth="1"/>
    <col min="19" max="19" width="31.42578125" style="1" customWidth="1"/>
    <col min="20" max="21" width="12.5703125" hidden="1" customWidth="1"/>
    <col min="22" max="23" width="11.42578125" hidden="1" customWidth="1"/>
    <col min="24" max="24" width="0.140625" hidden="1" customWidth="1"/>
    <col min="25" max="25" width="11.42578125" hidden="1" customWidth="1"/>
  </cols>
  <sheetData>
    <row r="1" spans="2:25" ht="14.45" customHeight="1" x14ac:dyDescent="0.25">
      <c r="Q1" s="1"/>
      <c r="R1" s="2"/>
    </row>
    <row r="2" spans="2:25" ht="14.45" customHeight="1" x14ac:dyDescent="0.25">
      <c r="I2" s="34" t="str">
        <f ca="1">"LISTA DE PRECIOS "&amp;TEXT(TODAY(),"DD-MM-AAAA")</f>
        <v>LISTA DE PRECIOS 08-10-jueves</v>
      </c>
      <c r="J2" s="34"/>
      <c r="K2" s="34"/>
      <c r="L2" s="34"/>
      <c r="M2" s="34"/>
      <c r="N2" s="34"/>
      <c r="O2" s="34"/>
      <c r="P2" s="34"/>
      <c r="Q2" s="1"/>
      <c r="R2" s="2"/>
    </row>
    <row r="3" spans="2:25" ht="14.45" customHeight="1" x14ac:dyDescent="0.25">
      <c r="G3" s="3"/>
      <c r="H3" s="4"/>
      <c r="I3" s="34"/>
      <c r="J3" s="34"/>
      <c r="K3" s="34"/>
      <c r="L3" s="34"/>
      <c r="M3" s="34"/>
      <c r="N3" s="34"/>
      <c r="O3" s="34"/>
      <c r="P3" s="34"/>
      <c r="Q3" s="1"/>
      <c r="R3" s="2"/>
    </row>
    <row r="4" spans="2:25" ht="14.45" customHeight="1" x14ac:dyDescent="0.25">
      <c r="G4" s="3"/>
      <c r="H4" s="4"/>
      <c r="I4" s="34"/>
      <c r="J4" s="34"/>
      <c r="K4" s="34"/>
      <c r="L4" s="34"/>
      <c r="M4" s="34"/>
      <c r="N4" s="34"/>
      <c r="O4" s="34"/>
      <c r="P4" s="34"/>
      <c r="Q4" s="1"/>
      <c r="R4" s="5"/>
    </row>
    <row r="5" spans="2:25" ht="15" customHeight="1" x14ac:dyDescent="0.25">
      <c r="G5" s="3"/>
      <c r="H5" s="4"/>
      <c r="I5" s="34"/>
      <c r="J5" s="34"/>
      <c r="K5" s="34"/>
      <c r="L5" s="34"/>
      <c r="M5" s="34"/>
      <c r="N5" s="34"/>
      <c r="O5" s="34"/>
      <c r="P5" s="34"/>
      <c r="Q5" s="1"/>
      <c r="R5" s="5"/>
    </row>
    <row r="6" spans="2:25" ht="12.75" customHeight="1" x14ac:dyDescent="0.25">
      <c r="G6" s="6"/>
      <c r="H6" s="6"/>
      <c r="I6" s="34"/>
      <c r="J6" s="34"/>
      <c r="K6" s="34"/>
      <c r="L6" s="34"/>
      <c r="M6" s="34"/>
      <c r="N6" s="34"/>
      <c r="O6" s="34"/>
      <c r="P6" s="34"/>
      <c r="Q6" s="6"/>
      <c r="R6" s="6"/>
    </row>
    <row r="7" spans="2:25" x14ac:dyDescent="0.25">
      <c r="Q7" s="7" t="s">
        <v>0</v>
      </c>
    </row>
    <row r="8" spans="2:25" s="8" customFormat="1" ht="59.25" customHeight="1" x14ac:dyDescent="0.25">
      <c r="B8" s="47" t="s">
        <v>1</v>
      </c>
      <c r="C8" s="48"/>
      <c r="E8" s="9" t="s">
        <v>2</v>
      </c>
      <c r="F8" s="9" t="s">
        <v>3</v>
      </c>
      <c r="G8" s="10" t="s">
        <v>4</v>
      </c>
      <c r="H8" s="10" t="s">
        <v>5</v>
      </c>
      <c r="I8" s="9" t="s">
        <v>6</v>
      </c>
      <c r="J8" s="9" t="s">
        <v>7</v>
      </c>
      <c r="K8" s="9" t="s">
        <v>8</v>
      </c>
      <c r="L8" s="9" t="s">
        <v>9</v>
      </c>
      <c r="M8" s="9" t="s">
        <v>10</v>
      </c>
      <c r="N8" s="9" t="s">
        <v>11</v>
      </c>
      <c r="O8" s="9" t="s">
        <v>12</v>
      </c>
      <c r="P8" s="9" t="s">
        <v>13</v>
      </c>
      <c r="Q8" s="9" t="s">
        <v>14</v>
      </c>
      <c r="R8" s="9" t="s">
        <v>15</v>
      </c>
      <c r="S8" s="9" t="s">
        <v>16</v>
      </c>
    </row>
    <row r="9" spans="2:25" s="8" customFormat="1" ht="39.950000000000003" customHeight="1" x14ac:dyDescent="0.25">
      <c r="B9" s="41" t="s">
        <v>17</v>
      </c>
      <c r="C9" s="42"/>
      <c r="E9" s="9">
        <v>66</v>
      </c>
      <c r="F9" s="11" t="s">
        <v>165</v>
      </c>
      <c r="G9" s="24" t="s">
        <v>166</v>
      </c>
      <c r="H9" s="11" t="s">
        <v>20</v>
      </c>
      <c r="I9" s="49" t="s">
        <v>167</v>
      </c>
      <c r="J9" s="11"/>
      <c r="K9" s="13">
        <v>8908020242603</v>
      </c>
      <c r="L9" s="38">
        <v>46357</v>
      </c>
      <c r="M9" s="11" t="s">
        <v>42</v>
      </c>
      <c r="N9" s="11">
        <v>220</v>
      </c>
      <c r="O9" s="14">
        <v>1163.3909000000001</v>
      </c>
      <c r="P9" s="15">
        <v>1.33</v>
      </c>
      <c r="Q9" s="39"/>
      <c r="R9" s="14">
        <f>O9*Q9</f>
        <v>0</v>
      </c>
      <c r="S9" s="15">
        <f>P9*Q9</f>
        <v>0</v>
      </c>
      <c r="T9" s="16" t="e">
        <f>#REF!</f>
        <v>#REF!</v>
      </c>
      <c r="U9" s="17" t="e">
        <f>#REF!*(1-T9)</f>
        <v>#REF!</v>
      </c>
      <c r="V9" s="18" t="e">
        <f>#REF!*(1-T9)</f>
        <v>#REF!</v>
      </c>
      <c r="W9" s="8">
        <v>284.17599999999999</v>
      </c>
      <c r="X9" s="18">
        <v>0.97</v>
      </c>
      <c r="Y9" s="8">
        <v>1.6</v>
      </c>
    </row>
    <row r="10" spans="2:25" s="8" customFormat="1" ht="39.950000000000003" customHeight="1" x14ac:dyDescent="0.25">
      <c r="B10" s="45" t="s">
        <v>22</v>
      </c>
      <c r="C10" s="46"/>
      <c r="E10" s="9">
        <v>235</v>
      </c>
      <c r="F10" s="11" t="s">
        <v>516</v>
      </c>
      <c r="G10" s="24" t="s">
        <v>517</v>
      </c>
      <c r="H10" s="11" t="s">
        <v>20</v>
      </c>
      <c r="I10" s="49" t="s">
        <v>167</v>
      </c>
      <c r="J10" s="11"/>
      <c r="K10" s="13">
        <v>8902297026256</v>
      </c>
      <c r="L10" s="38">
        <v>46327</v>
      </c>
      <c r="M10" s="11" t="s">
        <v>35</v>
      </c>
      <c r="N10" s="11"/>
      <c r="O10" s="14">
        <v>2186.8249999999998</v>
      </c>
      <c r="P10" s="15">
        <v>2.5</v>
      </c>
      <c r="Q10" s="39"/>
      <c r="R10" s="14">
        <f>O10*Q10</f>
        <v>0</v>
      </c>
      <c r="S10" s="15">
        <f>P10*Q10</f>
        <v>0</v>
      </c>
      <c r="T10" s="16" t="e">
        <f>#REF!</f>
        <v>#REF!</v>
      </c>
      <c r="U10" s="17" t="e">
        <f>#REF!*(1-T10)</f>
        <v>#REF!</v>
      </c>
      <c r="V10" s="18" t="e">
        <f>#REF!*(1-T10)</f>
        <v>#REF!</v>
      </c>
      <c r="W10" s="8">
        <v>401.39859999999999</v>
      </c>
      <c r="X10" s="18">
        <v>0.97</v>
      </c>
      <c r="Y10" s="8">
        <v>2.2599999999999998</v>
      </c>
    </row>
    <row r="11" spans="2:25" s="8" customFormat="1" ht="39.950000000000003" customHeight="1" x14ac:dyDescent="0.25">
      <c r="B11" s="43" t="s">
        <v>26</v>
      </c>
      <c r="C11" s="44"/>
      <c r="E11" s="9">
        <v>1</v>
      </c>
      <c r="F11" s="11" t="s">
        <v>18</v>
      </c>
      <c r="G11" s="12" t="s">
        <v>19</v>
      </c>
      <c r="H11" s="11" t="s">
        <v>20</v>
      </c>
      <c r="I11" s="11"/>
      <c r="J11" s="11"/>
      <c r="K11" s="13">
        <v>8906005118936</v>
      </c>
      <c r="L11" s="37">
        <v>46814</v>
      </c>
      <c r="M11" s="11" t="s">
        <v>21</v>
      </c>
      <c r="N11" s="11">
        <v>2500</v>
      </c>
      <c r="O11" s="14">
        <v>629.80560000000003</v>
      </c>
      <c r="P11" s="15">
        <v>0.72</v>
      </c>
      <c r="Q11" s="39"/>
      <c r="R11" s="14">
        <f>O11*Q11</f>
        <v>0</v>
      </c>
      <c r="S11" s="15">
        <f>P11*Q11</f>
        <v>0</v>
      </c>
      <c r="T11" s="16" t="e">
        <f>#REF!</f>
        <v>#REF!</v>
      </c>
      <c r="U11" s="17" t="e">
        <f>#REF!*(1-T11)</f>
        <v>#REF!</v>
      </c>
      <c r="V11" s="18" t="e">
        <f>#REF!*(1-T11)</f>
        <v>#REF!</v>
      </c>
      <c r="W11" s="8">
        <v>271.74329999999998</v>
      </c>
      <c r="X11" s="18">
        <v>0.97</v>
      </c>
      <c r="Y11" s="8">
        <v>1.53</v>
      </c>
    </row>
    <row r="12" spans="2:25" s="8" customFormat="1" ht="39.950000000000003" customHeight="1" x14ac:dyDescent="0.25">
      <c r="E12" s="9">
        <v>6</v>
      </c>
      <c r="F12" s="11" t="s">
        <v>36</v>
      </c>
      <c r="G12" s="12" t="s">
        <v>37</v>
      </c>
      <c r="H12" s="11" t="s">
        <v>20</v>
      </c>
      <c r="I12" s="11"/>
      <c r="J12" s="11"/>
      <c r="K12" s="13">
        <v>8906188190231</v>
      </c>
      <c r="L12" s="37">
        <v>46661</v>
      </c>
      <c r="M12" s="11" t="s">
        <v>35</v>
      </c>
      <c r="N12" s="11">
        <v>200</v>
      </c>
      <c r="O12" s="14">
        <v>1504.5355999999999</v>
      </c>
      <c r="P12" s="15">
        <v>1.72</v>
      </c>
      <c r="Q12" s="39"/>
      <c r="R12" s="14">
        <f>O12*Q12</f>
        <v>0</v>
      </c>
      <c r="S12" s="15">
        <f>P12*Q12</f>
        <v>0</v>
      </c>
      <c r="T12" s="16" t="e">
        <f>#REF!</f>
        <v>#REF!</v>
      </c>
      <c r="U12" s="17" t="e">
        <f>#REF!*(1-T12)</f>
        <v>#REF!</v>
      </c>
      <c r="V12" s="18" t="e">
        <f>#REF!*(1-T12)</f>
        <v>#REF!</v>
      </c>
      <c r="W12" s="8">
        <v>168.7295</v>
      </c>
      <c r="X12" s="18">
        <v>0.97</v>
      </c>
      <c r="Y12" s="8">
        <v>0.95</v>
      </c>
    </row>
    <row r="13" spans="2:25" s="8" customFormat="1" ht="39.950000000000003" customHeight="1" x14ac:dyDescent="0.25">
      <c r="B13" s="33" t="str">
        <f>"NOTA: RECUERDE QUE LOS PRODUCTOS PRÓXIMOS A VENCER, NO SE ACEPTAN DEVOLUCIONES,"&amp;CHAR(10)&amp;"LOS PRECIOS ESTAN SUJETOS A CAMBIOS PREVIAMENTE INFORMADOS, POR LO TANTO LOS LISTADOS ANTERIORES QUEDAN TOTALMENTE ANULADOS"</f>
        <v>NOTA: RECUERDE QUE LOS PRODUCTOS PRÓXIMOS A VENCER, NO SE ACEPTAN DEVOLUCIONES,
LOS PRECIOS ESTAN SUJETOS A CAMBIOS PREVIAMENTE INFORMADOS, POR LO TANTO LOS LISTADOS ANTERIORES QUEDAN TOTALMENTE ANULADOS</v>
      </c>
      <c r="C13" s="33"/>
      <c r="E13" s="9">
        <v>9</v>
      </c>
      <c r="F13" s="11" t="s">
        <v>43</v>
      </c>
      <c r="G13" s="12" t="s">
        <v>44</v>
      </c>
      <c r="H13" s="11" t="s">
        <v>25</v>
      </c>
      <c r="I13" s="11"/>
      <c r="J13" s="11"/>
      <c r="K13" s="13">
        <v>8901463211861</v>
      </c>
      <c r="L13" s="37">
        <v>46661</v>
      </c>
      <c r="M13" s="11" t="s">
        <v>45</v>
      </c>
      <c r="N13" s="11"/>
      <c r="O13" s="14">
        <v>4111.2309999999998</v>
      </c>
      <c r="P13" s="15">
        <v>4.7</v>
      </c>
      <c r="Q13" s="39"/>
      <c r="R13" s="14">
        <f>O13*Q13</f>
        <v>0</v>
      </c>
      <c r="S13" s="15">
        <f>P13*Q13</f>
        <v>0</v>
      </c>
      <c r="T13" s="16" t="e">
        <f>#REF!</f>
        <v>#REF!</v>
      </c>
      <c r="U13" s="17" t="e">
        <f>#REF!*(1-T13)</f>
        <v>#REF!</v>
      </c>
      <c r="V13" s="18" t="e">
        <f>#REF!*(1-T13)</f>
        <v>#REF!</v>
      </c>
      <c r="W13" s="8">
        <v>129.65530000000001</v>
      </c>
      <c r="X13" s="18">
        <v>0.97</v>
      </c>
      <c r="Y13" s="8">
        <v>0.73</v>
      </c>
    </row>
    <row r="14" spans="2:25" s="8" customFormat="1" ht="39.950000000000003" customHeight="1" x14ac:dyDescent="0.25">
      <c r="B14" s="33"/>
      <c r="C14" s="33"/>
      <c r="E14" s="9">
        <v>15</v>
      </c>
      <c r="F14" s="11" t="s">
        <v>59</v>
      </c>
      <c r="G14" s="12" t="s">
        <v>60</v>
      </c>
      <c r="H14" s="11" t="s">
        <v>20</v>
      </c>
      <c r="I14" s="11"/>
      <c r="J14" s="11"/>
      <c r="K14" s="13">
        <v>8901463195505</v>
      </c>
      <c r="L14" s="37">
        <v>46631</v>
      </c>
      <c r="M14" s="11" t="s">
        <v>42</v>
      </c>
      <c r="N14" s="11">
        <v>270</v>
      </c>
      <c r="O14" s="14">
        <v>4286.1769999999997</v>
      </c>
      <c r="P14" s="15">
        <v>4.9000000000000004</v>
      </c>
      <c r="Q14" s="39"/>
      <c r="R14" s="14">
        <f>O14*Q14</f>
        <v>0</v>
      </c>
      <c r="S14" s="15">
        <f>P14*Q14</f>
        <v>0</v>
      </c>
      <c r="T14" s="16" t="e">
        <f>#REF!</f>
        <v>#REF!</v>
      </c>
      <c r="U14" s="17" t="e">
        <f>#REF!*(1-T14)</f>
        <v>#REF!</v>
      </c>
      <c r="V14" s="18" t="e">
        <f>#REF!*(1-T14)</f>
        <v>#REF!</v>
      </c>
      <c r="W14" s="8">
        <v>90.581100000000006</v>
      </c>
      <c r="X14" s="18">
        <v>0.97</v>
      </c>
      <c r="Y14" s="8">
        <v>0.51</v>
      </c>
    </row>
    <row r="15" spans="2:25" s="8" customFormat="1" ht="39.950000000000003" customHeight="1" x14ac:dyDescent="0.25">
      <c r="B15" s="33"/>
      <c r="C15" s="33"/>
      <c r="E15" s="9">
        <v>48</v>
      </c>
      <c r="F15" s="11" t="s">
        <v>129</v>
      </c>
      <c r="G15" s="12" t="s">
        <v>130</v>
      </c>
      <c r="H15" s="11" t="s">
        <v>32</v>
      </c>
      <c r="I15" s="11"/>
      <c r="J15" s="11"/>
      <c r="K15" s="13">
        <v>8901872009080</v>
      </c>
      <c r="L15" s="37">
        <v>46572</v>
      </c>
      <c r="M15" s="11" t="s">
        <v>35</v>
      </c>
      <c r="N15" s="11">
        <v>1680</v>
      </c>
      <c r="O15" s="14">
        <v>533.58529999999996</v>
      </c>
      <c r="P15" s="15">
        <v>0.61</v>
      </c>
      <c r="Q15" s="39"/>
      <c r="R15" s="14">
        <f>O15*Q15</f>
        <v>0</v>
      </c>
      <c r="S15" s="15">
        <f>P15*Q15</f>
        <v>0</v>
      </c>
      <c r="T15" s="16">
        <f>J13</f>
        <v>0</v>
      </c>
      <c r="U15" s="17">
        <f>O13*(1-T15)</f>
        <v>4111.2309999999998</v>
      </c>
      <c r="V15" s="18">
        <f>P13*(1-T15)</f>
        <v>4.7</v>
      </c>
      <c r="W15" s="8">
        <v>1209.5241000000001</v>
      </c>
      <c r="X15" s="18">
        <v>0.97</v>
      </c>
      <c r="Y15" s="8">
        <v>6.81</v>
      </c>
    </row>
    <row r="16" spans="2:25" s="8" customFormat="1" ht="39.950000000000003" customHeight="1" x14ac:dyDescent="0.25">
      <c r="B16" s="33"/>
      <c r="C16" s="33"/>
      <c r="E16" s="9">
        <v>69</v>
      </c>
      <c r="F16" s="11" t="s">
        <v>172</v>
      </c>
      <c r="G16" s="12" t="s">
        <v>173</v>
      </c>
      <c r="H16" s="11" t="s">
        <v>32</v>
      </c>
      <c r="I16" s="11"/>
      <c r="J16" s="11"/>
      <c r="K16" s="13">
        <v>8906044712676</v>
      </c>
      <c r="L16" s="37">
        <v>46602</v>
      </c>
      <c r="M16" s="11" t="s">
        <v>65</v>
      </c>
      <c r="N16" s="11">
        <v>600</v>
      </c>
      <c r="O16" s="14">
        <v>1145.8963000000001</v>
      </c>
      <c r="P16" s="15">
        <v>1.31</v>
      </c>
      <c r="Q16" s="39"/>
      <c r="R16" s="14">
        <f>O16*Q16</f>
        <v>0</v>
      </c>
      <c r="S16" s="15">
        <f>P16*Q16</f>
        <v>0</v>
      </c>
      <c r="T16" s="16" t="e">
        <f>#REF!</f>
        <v>#REF!</v>
      </c>
      <c r="U16" s="17" t="e">
        <f>#REF!*(1-T16)</f>
        <v>#REF!</v>
      </c>
      <c r="V16" s="18" t="e">
        <f>#REF!*(1-T16)</f>
        <v>#REF!</v>
      </c>
      <c r="W16" s="8">
        <v>1250.3743999999999</v>
      </c>
      <c r="X16" s="18">
        <v>0.97</v>
      </c>
      <c r="Y16" s="8">
        <v>7.04</v>
      </c>
    </row>
    <row r="17" spans="2:25" s="8" customFormat="1" ht="39.950000000000003" customHeight="1" x14ac:dyDescent="0.25">
      <c r="B17" s="33"/>
      <c r="C17" s="33"/>
      <c r="E17" s="9">
        <v>73</v>
      </c>
      <c r="F17" s="11" t="s">
        <v>181</v>
      </c>
      <c r="G17" s="12" t="s">
        <v>182</v>
      </c>
      <c r="H17" s="11" t="s">
        <v>20</v>
      </c>
      <c r="I17" s="11"/>
      <c r="J17" s="11"/>
      <c r="K17" s="13">
        <v>8906188190149</v>
      </c>
      <c r="L17" s="37">
        <v>46600</v>
      </c>
      <c r="M17" s="11" t="s">
        <v>58</v>
      </c>
      <c r="N17" s="11">
        <v>600</v>
      </c>
      <c r="O17" s="14">
        <v>1312.095</v>
      </c>
      <c r="P17" s="15">
        <v>1.5</v>
      </c>
      <c r="Q17" s="39"/>
      <c r="R17" s="14">
        <f>O17*Q17</f>
        <v>0</v>
      </c>
      <c r="S17" s="15">
        <f>P17*Q17</f>
        <v>0</v>
      </c>
      <c r="T17" s="16" t="e">
        <f>#REF!</f>
        <v>#REF!</v>
      </c>
      <c r="U17" s="17" t="e">
        <f>#REF!*(1-T17)</f>
        <v>#REF!</v>
      </c>
      <c r="V17" s="18" t="e">
        <f>#REF!*(1-T17)</f>
        <v>#REF!</v>
      </c>
      <c r="W17" s="8">
        <v>101.2377</v>
      </c>
      <c r="X17" s="18">
        <v>0.97</v>
      </c>
      <c r="Y17" s="8">
        <v>0.56999999999999995</v>
      </c>
    </row>
    <row r="18" spans="2:25" s="8" customFormat="1" ht="39.950000000000003" customHeight="1" x14ac:dyDescent="0.25">
      <c r="E18" s="9">
        <v>79</v>
      </c>
      <c r="F18" s="11" t="s">
        <v>195</v>
      </c>
      <c r="G18" s="12" t="s">
        <v>196</v>
      </c>
      <c r="H18" s="11" t="s">
        <v>20</v>
      </c>
      <c r="I18" s="11"/>
      <c r="J18" s="11"/>
      <c r="K18" s="13">
        <v>8908020242627</v>
      </c>
      <c r="L18" s="37">
        <v>46600</v>
      </c>
      <c r="M18" s="11" t="s">
        <v>116</v>
      </c>
      <c r="N18" s="11">
        <v>1000</v>
      </c>
      <c r="O18" s="14">
        <v>743.52049999999997</v>
      </c>
      <c r="P18" s="15">
        <v>0.85</v>
      </c>
      <c r="Q18" s="39"/>
      <c r="R18" s="14">
        <f>O18*Q18</f>
        <v>0</v>
      </c>
      <c r="S18" s="15">
        <f>P18*Q18</f>
        <v>0</v>
      </c>
      <c r="T18" s="16" t="e">
        <f>#REF!</f>
        <v>#REF!</v>
      </c>
      <c r="U18" s="17" t="e">
        <f>#REF!*(1-T18)</f>
        <v>#REF!</v>
      </c>
      <c r="V18" s="18" t="e">
        <f>#REF!*(1-T18)</f>
        <v>#REF!</v>
      </c>
      <c r="W18" s="8">
        <v>62.163499999999999</v>
      </c>
      <c r="X18" s="18">
        <v>0.97</v>
      </c>
      <c r="Y18" s="8">
        <v>0.35</v>
      </c>
    </row>
    <row r="19" spans="2:25" s="8" customFormat="1" ht="39.950000000000003" customHeight="1" x14ac:dyDescent="0.25">
      <c r="E19" s="9">
        <v>80</v>
      </c>
      <c r="F19" s="11" t="s">
        <v>197</v>
      </c>
      <c r="G19" s="12" t="s">
        <v>198</v>
      </c>
      <c r="H19" s="11" t="s">
        <v>20</v>
      </c>
      <c r="I19" s="21" t="s">
        <v>68</v>
      </c>
      <c r="J19" s="11"/>
      <c r="K19" s="13">
        <v>8906188190118</v>
      </c>
      <c r="L19" s="37">
        <v>46600</v>
      </c>
      <c r="M19" s="11" t="s">
        <v>116</v>
      </c>
      <c r="N19" s="11">
        <v>600</v>
      </c>
      <c r="O19" s="14">
        <v>1661.9870000000001</v>
      </c>
      <c r="P19" s="15">
        <v>1.9</v>
      </c>
      <c r="Q19" s="39"/>
      <c r="R19" s="14">
        <f>O19*Q19</f>
        <v>0</v>
      </c>
      <c r="S19" s="15">
        <f>P19*Q19</f>
        <v>0</v>
      </c>
      <c r="T19" s="16" t="e">
        <f>#REF!</f>
        <v>#REF!</v>
      </c>
      <c r="U19" s="17" t="e">
        <f>#REF!*(1-T19)</f>
        <v>#REF!</v>
      </c>
      <c r="V19" s="18" t="e">
        <f>#REF!*(1-T19)</f>
        <v>#REF!</v>
      </c>
      <c r="W19" s="8">
        <v>99.461600000000004</v>
      </c>
      <c r="X19" s="18">
        <v>0.97</v>
      </c>
      <c r="Y19" s="8">
        <v>0.56000000000000005</v>
      </c>
    </row>
    <row r="20" spans="2:25" s="8" customFormat="1" ht="39.950000000000003" customHeight="1" x14ac:dyDescent="0.25">
      <c r="E20" s="9">
        <v>81</v>
      </c>
      <c r="F20" s="11" t="s">
        <v>199</v>
      </c>
      <c r="G20" s="12" t="s">
        <v>200</v>
      </c>
      <c r="H20" s="11" t="s">
        <v>20</v>
      </c>
      <c r="I20" s="11"/>
      <c r="J20" s="11"/>
      <c r="K20" s="13">
        <v>8906188190125</v>
      </c>
      <c r="L20" s="37">
        <v>46601</v>
      </c>
      <c r="M20" s="11" t="s">
        <v>116</v>
      </c>
      <c r="N20" s="11">
        <v>600</v>
      </c>
      <c r="O20" s="14">
        <v>2431.7494000000002</v>
      </c>
      <c r="P20" s="15">
        <v>2.78</v>
      </c>
      <c r="Q20" s="39"/>
      <c r="R20" s="14">
        <f>O20*Q20</f>
        <v>0</v>
      </c>
      <c r="S20" s="15">
        <f>P20*Q20</f>
        <v>0</v>
      </c>
      <c r="T20" s="16" t="e">
        <f>#REF!</f>
        <v>#REF!</v>
      </c>
      <c r="U20" s="17" t="e">
        <f>#REF!*(1-T20)</f>
        <v>#REF!</v>
      </c>
      <c r="V20" s="18" t="e">
        <f>#REF!*(1-T20)</f>
        <v>#REF!</v>
      </c>
      <c r="W20" s="8">
        <v>150.96850000000001</v>
      </c>
      <c r="X20" s="18">
        <v>0.97</v>
      </c>
      <c r="Y20" s="8">
        <v>0.85</v>
      </c>
    </row>
    <row r="21" spans="2:25" s="8" customFormat="1" ht="39.950000000000003" customHeight="1" x14ac:dyDescent="0.25">
      <c r="E21" s="9">
        <v>94</v>
      </c>
      <c r="F21" s="11" t="s">
        <v>227</v>
      </c>
      <c r="G21" s="12" t="s">
        <v>228</v>
      </c>
      <c r="H21" s="11" t="s">
        <v>25</v>
      </c>
      <c r="I21" s="11"/>
      <c r="J21" s="11"/>
      <c r="K21" s="13">
        <v>8906005116888</v>
      </c>
      <c r="L21" s="37">
        <v>46511</v>
      </c>
      <c r="M21" s="11" t="s">
        <v>58</v>
      </c>
      <c r="N21" s="11">
        <v>960</v>
      </c>
      <c r="O21" s="14">
        <v>341.1447</v>
      </c>
      <c r="P21" s="15">
        <v>0.39</v>
      </c>
      <c r="Q21" s="39"/>
      <c r="R21" s="14">
        <f>O21*Q21</f>
        <v>0</v>
      </c>
      <c r="S21" s="15">
        <f>P21*Q21</f>
        <v>0</v>
      </c>
      <c r="T21" s="16">
        <f>J16</f>
        <v>0</v>
      </c>
      <c r="U21" s="17">
        <f>O16*(1-T21)</f>
        <v>1145.8963000000001</v>
      </c>
      <c r="V21" s="18">
        <f>P16*(1-T21)</f>
        <v>1.31</v>
      </c>
      <c r="W21" s="8">
        <v>479.54700000000003</v>
      </c>
      <c r="X21" s="18">
        <v>0.97</v>
      </c>
      <c r="Y21" s="8">
        <v>2.7</v>
      </c>
    </row>
    <row r="22" spans="2:25" s="8" customFormat="1" ht="39.950000000000003" customHeight="1" x14ac:dyDescent="0.25">
      <c r="E22" s="9">
        <v>98</v>
      </c>
      <c r="F22" s="11" t="s">
        <v>235</v>
      </c>
      <c r="G22" s="12" t="s">
        <v>236</v>
      </c>
      <c r="H22" s="11" t="s">
        <v>20</v>
      </c>
      <c r="I22" s="11"/>
      <c r="J22" s="11"/>
      <c r="K22" s="13">
        <v>8909440000170</v>
      </c>
      <c r="L22" s="37">
        <v>46569</v>
      </c>
      <c r="M22" s="11" t="s">
        <v>21</v>
      </c>
      <c r="N22" s="11">
        <v>320</v>
      </c>
      <c r="O22" s="14">
        <v>2073.1100999999999</v>
      </c>
      <c r="P22" s="15">
        <v>2.37</v>
      </c>
      <c r="Q22" s="39"/>
      <c r="R22" s="14">
        <f>O22*Q22</f>
        <v>0</v>
      </c>
      <c r="S22" s="15">
        <f>P22*Q22</f>
        <v>0</v>
      </c>
      <c r="T22" s="16">
        <f>J20</f>
        <v>0</v>
      </c>
      <c r="U22" s="17">
        <f>O20*(1-T22)</f>
        <v>2431.7494000000002</v>
      </c>
      <c r="V22" s="18">
        <f>P20*(1-T22)</f>
        <v>2.78</v>
      </c>
      <c r="W22" s="8">
        <v>159.84899999999999</v>
      </c>
      <c r="X22" s="18">
        <v>0.97</v>
      </c>
      <c r="Y22" s="8">
        <v>0.9</v>
      </c>
    </row>
    <row r="23" spans="2:25" s="8" customFormat="1" ht="39.950000000000003" customHeight="1" x14ac:dyDescent="0.25">
      <c r="E23" s="9">
        <v>112</v>
      </c>
      <c r="F23" s="11" t="s">
        <v>264</v>
      </c>
      <c r="G23" s="12" t="s">
        <v>265</v>
      </c>
      <c r="H23" s="11" t="s">
        <v>32</v>
      </c>
      <c r="I23" s="21" t="s">
        <v>68</v>
      </c>
      <c r="J23" s="11"/>
      <c r="K23" s="13">
        <v>8906005118752</v>
      </c>
      <c r="L23" s="38">
        <v>46358</v>
      </c>
      <c r="M23" s="11" t="s">
        <v>190</v>
      </c>
      <c r="N23" s="11">
        <v>560</v>
      </c>
      <c r="O23" s="14">
        <v>166.1987</v>
      </c>
      <c r="P23" s="15">
        <v>0.19</v>
      </c>
      <c r="Q23" s="39"/>
      <c r="R23" s="14">
        <f>O23*Q23</f>
        <v>0</v>
      </c>
      <c r="S23" s="15">
        <f>P23*Q23</f>
        <v>0</v>
      </c>
      <c r="T23" s="16" t="e">
        <f>#REF!</f>
        <v>#REF!</v>
      </c>
      <c r="U23" s="17" t="e">
        <f>#REF!*(1-T23)</f>
        <v>#REF!</v>
      </c>
      <c r="V23" s="18" t="e">
        <f>#REF!*(1-T23)</f>
        <v>#REF!</v>
      </c>
      <c r="W23" s="8">
        <v>310.8175</v>
      </c>
      <c r="X23" s="18">
        <v>0.97</v>
      </c>
      <c r="Y23" s="8">
        <v>1.75</v>
      </c>
    </row>
    <row r="24" spans="2:25" s="8" customFormat="1" ht="39.950000000000003" customHeight="1" x14ac:dyDescent="0.25">
      <c r="E24" s="9">
        <v>116</v>
      </c>
      <c r="F24" s="11" t="s">
        <v>272</v>
      </c>
      <c r="G24" s="12" t="s">
        <v>273</v>
      </c>
      <c r="H24" s="11" t="s">
        <v>20</v>
      </c>
      <c r="I24" s="11"/>
      <c r="J24" s="11"/>
      <c r="K24" s="13">
        <v>8901872009196</v>
      </c>
      <c r="L24" s="37">
        <v>47150</v>
      </c>
      <c r="M24" s="11" t="s">
        <v>190</v>
      </c>
      <c r="N24" s="11"/>
      <c r="O24" s="14">
        <v>1530.7774999999999</v>
      </c>
      <c r="P24" s="15">
        <v>1.75</v>
      </c>
      <c r="Q24" s="39"/>
      <c r="R24" s="14">
        <f>O24*Q24</f>
        <v>0</v>
      </c>
      <c r="S24" s="15">
        <f>P24*Q24</f>
        <v>0</v>
      </c>
      <c r="T24" s="16" t="e">
        <f>#REF!</f>
        <v>#REF!</v>
      </c>
      <c r="U24" s="17" t="e">
        <f>#REF!*(1-T24)</f>
        <v>#REF!</v>
      </c>
      <c r="V24" s="18" t="e">
        <f>#REF!*(1-T24)</f>
        <v>#REF!</v>
      </c>
      <c r="W24" s="8">
        <v>236.22130000000001</v>
      </c>
      <c r="X24" s="18">
        <v>0.97</v>
      </c>
      <c r="Y24" s="8">
        <v>1.33</v>
      </c>
    </row>
    <row r="25" spans="2:25" s="8" customFormat="1" ht="39.950000000000003" customHeight="1" x14ac:dyDescent="0.25">
      <c r="E25" s="9">
        <v>123</v>
      </c>
      <c r="F25" s="11" t="s">
        <v>286</v>
      </c>
      <c r="G25" s="12" t="s">
        <v>287</v>
      </c>
      <c r="H25" s="11" t="s">
        <v>20</v>
      </c>
      <c r="I25" s="11"/>
      <c r="J25" s="11"/>
      <c r="K25" s="13">
        <v>8906005118219</v>
      </c>
      <c r="L25" s="37">
        <v>46508</v>
      </c>
      <c r="M25" s="11" t="s">
        <v>58</v>
      </c>
      <c r="N25" s="11">
        <v>960</v>
      </c>
      <c r="O25" s="14">
        <v>1347.0842</v>
      </c>
      <c r="P25" s="15">
        <v>1.54</v>
      </c>
      <c r="Q25" s="39"/>
      <c r="R25" s="14">
        <f>O25*Q25</f>
        <v>0</v>
      </c>
      <c r="S25" s="15">
        <f>P25*Q25</f>
        <v>0</v>
      </c>
      <c r="T25" s="16">
        <f>J21</f>
        <v>0</v>
      </c>
      <c r="U25" s="17">
        <f>O21*(1-T25)</f>
        <v>341.1447</v>
      </c>
      <c r="V25" s="18">
        <f>P21*(1-T25)</f>
        <v>0.39</v>
      </c>
      <c r="W25" s="8">
        <v>159.84899999999999</v>
      </c>
      <c r="X25" s="18">
        <v>0.97</v>
      </c>
      <c r="Y25" s="8">
        <v>0.9</v>
      </c>
    </row>
    <row r="26" spans="2:25" s="8" customFormat="1" ht="39.950000000000003" customHeight="1" x14ac:dyDescent="0.25">
      <c r="E26" s="9">
        <v>129</v>
      </c>
      <c r="F26" s="11" t="s">
        <v>298</v>
      </c>
      <c r="G26" s="12" t="s">
        <v>299</v>
      </c>
      <c r="H26" s="11" t="s">
        <v>20</v>
      </c>
      <c r="I26" s="11"/>
      <c r="J26" s="11"/>
      <c r="K26" s="13">
        <v>8909440000057</v>
      </c>
      <c r="L26" s="37">
        <v>46662</v>
      </c>
      <c r="M26" s="11" t="s">
        <v>58</v>
      </c>
      <c r="N26" s="11"/>
      <c r="O26" s="14">
        <v>1093.4124999999999</v>
      </c>
      <c r="P26" s="15">
        <v>1.25</v>
      </c>
      <c r="Q26" s="39"/>
      <c r="R26" s="14">
        <f>O26*Q26</f>
        <v>0</v>
      </c>
      <c r="S26" s="15">
        <f>P26*Q26</f>
        <v>0</v>
      </c>
      <c r="T26" s="16">
        <f>J25</f>
        <v>0</v>
      </c>
      <c r="U26" s="17">
        <f>O25*(1-T26)</f>
        <v>1347.0842</v>
      </c>
      <c r="V26" s="18">
        <f>P25*(1-T26)</f>
        <v>1.54</v>
      </c>
      <c r="W26" s="8">
        <v>394.29419999999999</v>
      </c>
      <c r="X26" s="18">
        <v>0.97</v>
      </c>
      <c r="Y26" s="8">
        <v>2.2200000000000002</v>
      </c>
    </row>
    <row r="27" spans="2:25" s="8" customFormat="1" ht="39.950000000000003" customHeight="1" x14ac:dyDescent="0.25">
      <c r="E27" s="9">
        <v>143</v>
      </c>
      <c r="F27" s="11" t="s">
        <v>327</v>
      </c>
      <c r="G27" s="12" t="s">
        <v>328</v>
      </c>
      <c r="H27" s="11" t="s">
        <v>25</v>
      </c>
      <c r="I27" s="11"/>
      <c r="J27" s="11"/>
      <c r="K27" s="13">
        <v>8909440001368</v>
      </c>
      <c r="L27" s="37">
        <v>47119</v>
      </c>
      <c r="M27" s="11" t="s">
        <v>190</v>
      </c>
      <c r="N27" s="11"/>
      <c r="O27" s="14">
        <v>1740.7127</v>
      </c>
      <c r="P27" s="15">
        <v>1.99</v>
      </c>
      <c r="Q27" s="39"/>
      <c r="R27" s="14">
        <f>O27*Q27</f>
        <v>0</v>
      </c>
      <c r="S27" s="15">
        <f>P27*Q27</f>
        <v>0</v>
      </c>
      <c r="T27" s="16" t="e">
        <f>#REF!</f>
        <v>#REF!</v>
      </c>
      <c r="U27" s="17" t="e">
        <f>#REF!*(1-T27)</f>
        <v>#REF!</v>
      </c>
      <c r="V27" s="18" t="e">
        <f>#REF!*(1-T27)</f>
        <v>#REF!</v>
      </c>
      <c r="W27" s="8">
        <v>56.8352</v>
      </c>
      <c r="X27" s="18">
        <v>0.97</v>
      </c>
      <c r="Y27" s="8">
        <v>0.32</v>
      </c>
    </row>
    <row r="28" spans="2:25" s="8" customFormat="1" ht="39.950000000000003" customHeight="1" x14ac:dyDescent="0.25">
      <c r="E28" s="9">
        <v>147</v>
      </c>
      <c r="F28" s="11" t="s">
        <v>336</v>
      </c>
      <c r="G28" s="12" t="s">
        <v>337</v>
      </c>
      <c r="H28" s="11" t="s">
        <v>20</v>
      </c>
      <c r="I28" s="11"/>
      <c r="J28" s="11"/>
      <c r="K28" s="13">
        <v>8906188190156</v>
      </c>
      <c r="L28" s="37">
        <v>46600</v>
      </c>
      <c r="M28" s="11" t="s">
        <v>58</v>
      </c>
      <c r="N28" s="11">
        <v>600</v>
      </c>
      <c r="O28" s="14">
        <v>1994.3843999999999</v>
      </c>
      <c r="P28" s="15">
        <v>2.2799999999999998</v>
      </c>
      <c r="Q28" s="39"/>
      <c r="R28" s="14">
        <f>O28*Q28</f>
        <v>0</v>
      </c>
      <c r="S28" s="15">
        <f>P28*Q28</f>
        <v>0</v>
      </c>
      <c r="T28" s="16" t="e">
        <f>#REF!</f>
        <v>#REF!</v>
      </c>
      <c r="U28" s="17" t="e">
        <f>#REF!*(1-T28)</f>
        <v>#REF!</v>
      </c>
      <c r="V28" s="18" t="e">
        <f>#REF!*(1-T28)</f>
        <v>#REF!</v>
      </c>
      <c r="W28" s="8">
        <v>142.08799999999999</v>
      </c>
      <c r="X28" s="18">
        <v>0.97</v>
      </c>
      <c r="Y28" s="8">
        <v>0.8</v>
      </c>
    </row>
    <row r="29" spans="2:25" s="8" customFormat="1" ht="39.950000000000003" customHeight="1" x14ac:dyDescent="0.25">
      <c r="E29" s="9">
        <v>148</v>
      </c>
      <c r="F29" s="11" t="s">
        <v>338</v>
      </c>
      <c r="G29" s="12" t="s">
        <v>339</v>
      </c>
      <c r="H29" s="11" t="s">
        <v>20</v>
      </c>
      <c r="I29" s="11"/>
      <c r="J29" s="11"/>
      <c r="K29" s="13">
        <v>8901872009189</v>
      </c>
      <c r="L29" s="37">
        <v>46693</v>
      </c>
      <c r="M29" s="11" t="s">
        <v>45</v>
      </c>
      <c r="N29" s="11">
        <v>529</v>
      </c>
      <c r="O29" s="14">
        <v>1749.46</v>
      </c>
      <c r="P29" s="15">
        <v>2</v>
      </c>
      <c r="Q29" s="39"/>
      <c r="R29" s="14">
        <f>O29*Q29</f>
        <v>0</v>
      </c>
      <c r="S29" s="15">
        <f>P29*Q29</f>
        <v>0</v>
      </c>
      <c r="T29" s="16" t="e">
        <f>#REF!</f>
        <v>#REF!</v>
      </c>
      <c r="U29" s="17" t="e">
        <f>#REF!*(1-T29)</f>
        <v>#REF!</v>
      </c>
      <c r="V29" s="18" t="e">
        <f>#REF!*(1-T29)</f>
        <v>#REF!</v>
      </c>
      <c r="W29" s="8">
        <v>337.459</v>
      </c>
      <c r="X29" s="18">
        <v>0.97</v>
      </c>
      <c r="Y29" s="8">
        <v>1.9</v>
      </c>
    </row>
    <row r="30" spans="2:25" s="8" customFormat="1" ht="39.950000000000003" customHeight="1" x14ac:dyDescent="0.25">
      <c r="E30" s="9">
        <v>150</v>
      </c>
      <c r="F30" s="11" t="s">
        <v>342</v>
      </c>
      <c r="G30" s="12" t="s">
        <v>343</v>
      </c>
      <c r="H30" s="11" t="s">
        <v>20</v>
      </c>
      <c r="I30" s="11"/>
      <c r="J30" s="11"/>
      <c r="K30" s="13">
        <v>8906188190545</v>
      </c>
      <c r="L30" s="37">
        <v>46754</v>
      </c>
      <c r="M30" s="11" t="s">
        <v>42</v>
      </c>
      <c r="N30" s="11">
        <v>40</v>
      </c>
      <c r="O30" s="14">
        <v>5484.5571</v>
      </c>
      <c r="P30" s="15">
        <v>6.27</v>
      </c>
      <c r="Q30" s="39"/>
      <c r="R30" s="14">
        <f>O30*Q30</f>
        <v>0</v>
      </c>
      <c r="S30" s="15">
        <f>P30*Q30</f>
        <v>0</v>
      </c>
      <c r="T30" s="16" t="e">
        <f>#REF!</f>
        <v>#REF!</v>
      </c>
      <c r="U30" s="17" t="e">
        <f>#REF!*(1-T30)</f>
        <v>#REF!</v>
      </c>
      <c r="V30" s="18" t="e">
        <f>#REF!*(1-T30)</f>
        <v>#REF!</v>
      </c>
      <c r="W30" s="8">
        <v>222.01249999999999</v>
      </c>
      <c r="X30" s="18">
        <v>0.97</v>
      </c>
      <c r="Y30" s="8">
        <v>1.25</v>
      </c>
    </row>
    <row r="31" spans="2:25" s="8" customFormat="1" ht="39.950000000000003" customHeight="1" x14ac:dyDescent="0.25">
      <c r="E31" s="9">
        <v>158</v>
      </c>
      <c r="F31" s="11" t="s">
        <v>358</v>
      </c>
      <c r="G31" s="12" t="s">
        <v>359</v>
      </c>
      <c r="H31" s="11" t="s">
        <v>20</v>
      </c>
      <c r="I31" s="11"/>
      <c r="J31" s="11"/>
      <c r="K31" s="13">
        <v>8902297029103</v>
      </c>
      <c r="L31" s="37">
        <v>46539</v>
      </c>
      <c r="M31" s="11" t="s">
        <v>55</v>
      </c>
      <c r="N31" s="11">
        <v>90</v>
      </c>
      <c r="O31" s="14">
        <v>5353.3476000000001</v>
      </c>
      <c r="P31" s="15">
        <v>6.12</v>
      </c>
      <c r="Q31" s="39"/>
      <c r="R31" s="14">
        <f>O31*Q31</f>
        <v>0</v>
      </c>
      <c r="S31" s="15">
        <f>P31*Q31</f>
        <v>0</v>
      </c>
      <c r="T31" s="16" t="e">
        <f>#REF!</f>
        <v>#REF!</v>
      </c>
      <c r="U31" s="17" t="e">
        <f>#REF!*(1-T31)</f>
        <v>#REF!</v>
      </c>
      <c r="V31" s="18" t="e">
        <f>#REF!*(1-T31)</f>
        <v>#REF!</v>
      </c>
      <c r="W31" s="8">
        <v>150.96850000000001</v>
      </c>
      <c r="X31" s="18">
        <v>0.97</v>
      </c>
      <c r="Y31" s="8">
        <v>0.85</v>
      </c>
    </row>
    <row r="32" spans="2:25" s="8" customFormat="1" ht="39.950000000000003" customHeight="1" x14ac:dyDescent="0.25">
      <c r="E32" s="9">
        <v>186</v>
      </c>
      <c r="F32" s="11" t="s">
        <v>414</v>
      </c>
      <c r="G32" s="12" t="s">
        <v>415</v>
      </c>
      <c r="H32" s="11" t="s">
        <v>20</v>
      </c>
      <c r="I32" s="11"/>
      <c r="J32" s="11"/>
      <c r="K32" s="13">
        <v>8902297124198</v>
      </c>
      <c r="L32" s="37">
        <v>46784</v>
      </c>
      <c r="M32" s="11" t="s">
        <v>42</v>
      </c>
      <c r="N32" s="11">
        <v>480</v>
      </c>
      <c r="O32" s="14">
        <v>4863.4988000000003</v>
      </c>
      <c r="P32" s="15">
        <v>5.56</v>
      </c>
      <c r="Q32" s="39"/>
      <c r="R32" s="14">
        <f>O32*Q32</f>
        <v>0</v>
      </c>
      <c r="S32" s="15">
        <f>P32*Q32</f>
        <v>0</v>
      </c>
      <c r="T32" s="16" t="e">
        <f>#REF!</f>
        <v>#REF!</v>
      </c>
      <c r="U32" s="17" t="e">
        <f>#REF!*(1-T32)</f>
        <v>#REF!</v>
      </c>
      <c r="V32" s="18" t="e">
        <f>#REF!*(1-T32)</f>
        <v>#REF!</v>
      </c>
      <c r="W32" s="8">
        <v>44.402500000000003</v>
      </c>
      <c r="X32" s="18">
        <v>0.97</v>
      </c>
      <c r="Y32" s="8">
        <v>0.25</v>
      </c>
    </row>
    <row r="33" spans="5:25" s="8" customFormat="1" ht="39.950000000000003" customHeight="1" x14ac:dyDescent="0.25">
      <c r="E33" s="9">
        <v>193</v>
      </c>
      <c r="F33" s="11" t="s">
        <v>428</v>
      </c>
      <c r="G33" s="12" t="s">
        <v>429</v>
      </c>
      <c r="H33" s="11" t="s">
        <v>20</v>
      </c>
      <c r="I33" s="11"/>
      <c r="J33" s="11"/>
      <c r="K33" s="13">
        <v>8902297026270</v>
      </c>
      <c r="L33" s="37">
        <v>46692</v>
      </c>
      <c r="M33" s="11" t="s">
        <v>42</v>
      </c>
      <c r="N33" s="11"/>
      <c r="O33" s="14">
        <v>2449.2440000000001</v>
      </c>
      <c r="P33" s="15">
        <v>2.8</v>
      </c>
      <c r="Q33" s="39"/>
      <c r="R33" s="14">
        <f>O33*Q33</f>
        <v>0</v>
      </c>
      <c r="S33" s="15">
        <f>P33*Q33</f>
        <v>0</v>
      </c>
      <c r="T33" s="16" t="e">
        <f>#REF!</f>
        <v>#REF!</v>
      </c>
      <c r="U33" s="17" t="e">
        <f>#REF!*(1-T33)</f>
        <v>#REF!</v>
      </c>
      <c r="V33" s="18" t="e">
        <f>#REF!*(1-T33)</f>
        <v>#REF!</v>
      </c>
      <c r="W33" s="8">
        <v>115.4465</v>
      </c>
      <c r="X33" s="18">
        <v>0.97</v>
      </c>
      <c r="Y33" s="8">
        <v>0.65</v>
      </c>
    </row>
    <row r="34" spans="5:25" s="8" customFormat="1" ht="39.950000000000003" customHeight="1" x14ac:dyDescent="0.25">
      <c r="E34" s="9">
        <v>208</v>
      </c>
      <c r="F34" s="11" t="s">
        <v>459</v>
      </c>
      <c r="G34" s="12" t="s">
        <v>460</v>
      </c>
      <c r="H34" s="11" t="s">
        <v>20</v>
      </c>
      <c r="I34" s="11"/>
      <c r="J34" s="11"/>
      <c r="K34" s="13">
        <v>8902297026324</v>
      </c>
      <c r="L34" s="37">
        <v>46722</v>
      </c>
      <c r="M34" s="11" t="s">
        <v>55</v>
      </c>
      <c r="N34" s="11">
        <v>300</v>
      </c>
      <c r="O34" s="14">
        <v>1705.7235000000001</v>
      </c>
      <c r="P34" s="15">
        <v>1.95</v>
      </c>
      <c r="Q34" s="39"/>
      <c r="R34" s="14">
        <f>O34*Q34</f>
        <v>0</v>
      </c>
      <c r="S34" s="15">
        <f>P34*Q34</f>
        <v>0</v>
      </c>
      <c r="T34" s="16" t="e">
        <f>#REF!</f>
        <v>#REF!</v>
      </c>
      <c r="U34" s="17" t="e">
        <f>#REF!*(1-T34)</f>
        <v>#REF!</v>
      </c>
      <c r="V34" s="18" t="e">
        <f>#REF!*(1-T34)</f>
        <v>#REF!</v>
      </c>
      <c r="W34" s="8">
        <v>612.75450000000001</v>
      </c>
      <c r="X34" s="18">
        <v>0.97</v>
      </c>
      <c r="Y34" s="8">
        <v>3.45</v>
      </c>
    </row>
    <row r="35" spans="5:25" s="8" customFormat="1" ht="39.950000000000003" customHeight="1" x14ac:dyDescent="0.25">
      <c r="E35" s="9">
        <v>219</v>
      </c>
      <c r="F35" s="11" t="s">
        <v>484</v>
      </c>
      <c r="G35" s="12" t="s">
        <v>485</v>
      </c>
      <c r="H35" s="11" t="s">
        <v>20</v>
      </c>
      <c r="I35" s="11"/>
      <c r="J35" s="11"/>
      <c r="K35" s="13">
        <v>8902297024078</v>
      </c>
      <c r="L35" s="37">
        <v>46600</v>
      </c>
      <c r="M35" s="11" t="s">
        <v>45</v>
      </c>
      <c r="N35" s="11">
        <v>1000</v>
      </c>
      <c r="O35" s="14">
        <v>472.35419999999999</v>
      </c>
      <c r="P35" s="15">
        <v>0.54</v>
      </c>
      <c r="Q35" s="39"/>
      <c r="R35" s="14">
        <f>O35*Q35</f>
        <v>0</v>
      </c>
      <c r="S35" s="15">
        <f>P35*Q35</f>
        <v>0</v>
      </c>
      <c r="T35" s="16" t="e">
        <f>#REF!</f>
        <v>#REF!</v>
      </c>
      <c r="U35" s="17" t="e">
        <f>#REF!*(1-T35)</f>
        <v>#REF!</v>
      </c>
      <c r="V35" s="18" t="e">
        <f>#REF!*(1-T35)</f>
        <v>#REF!</v>
      </c>
      <c r="W35" s="8">
        <v>147.41630000000001</v>
      </c>
      <c r="X35" s="18">
        <v>0.97</v>
      </c>
      <c r="Y35" s="8">
        <v>0.83</v>
      </c>
    </row>
    <row r="36" spans="5:25" s="8" customFormat="1" ht="39.950000000000003" customHeight="1" x14ac:dyDescent="0.25">
      <c r="E36" s="9">
        <v>220</v>
      </c>
      <c r="F36" s="11" t="s">
        <v>486</v>
      </c>
      <c r="G36" s="12" t="s">
        <v>487</v>
      </c>
      <c r="H36" s="11" t="s">
        <v>20</v>
      </c>
      <c r="I36" s="11"/>
      <c r="J36" s="11"/>
      <c r="K36" s="13">
        <v>8902297026249</v>
      </c>
      <c r="L36" s="38">
        <v>46364</v>
      </c>
      <c r="M36" s="11" t="s">
        <v>21</v>
      </c>
      <c r="N36" s="11">
        <v>200</v>
      </c>
      <c r="O36" s="14">
        <v>3787.5808999999999</v>
      </c>
      <c r="P36" s="15">
        <v>4.33</v>
      </c>
      <c r="Q36" s="39"/>
      <c r="R36" s="14">
        <f>O36*Q36</f>
        <v>0</v>
      </c>
      <c r="S36" s="15">
        <f>P36*Q36</f>
        <v>0</v>
      </c>
      <c r="T36" s="16" t="e">
        <f>#REF!</f>
        <v>#REF!</v>
      </c>
      <c r="U36" s="17" t="e">
        <f>#REF!*(1-T36)</f>
        <v>#REF!</v>
      </c>
      <c r="V36" s="18" t="e">
        <f>#REF!*(1-T36)</f>
        <v>#REF!</v>
      </c>
      <c r="W36" s="8">
        <v>145.64019999999999</v>
      </c>
      <c r="X36" s="18">
        <v>0.97</v>
      </c>
      <c r="Y36" s="8">
        <v>0.82</v>
      </c>
    </row>
    <row r="37" spans="5:25" s="8" customFormat="1" ht="39.950000000000003" customHeight="1" x14ac:dyDescent="0.25">
      <c r="E37" s="9">
        <v>223</v>
      </c>
      <c r="F37" s="11" t="s">
        <v>492</v>
      </c>
      <c r="G37" s="12" t="s">
        <v>493</v>
      </c>
      <c r="H37" s="11" t="s">
        <v>20</v>
      </c>
      <c r="I37" s="21" t="s">
        <v>68</v>
      </c>
      <c r="J37" s="11"/>
      <c r="K37" s="13">
        <v>8906188190163</v>
      </c>
      <c r="L37" s="37">
        <v>46600</v>
      </c>
      <c r="M37" s="11" t="s">
        <v>55</v>
      </c>
      <c r="N37" s="11">
        <v>480</v>
      </c>
      <c r="O37" s="14">
        <v>3717.6025</v>
      </c>
      <c r="P37" s="15">
        <v>4.25</v>
      </c>
      <c r="Q37" s="39"/>
      <c r="R37" s="14">
        <f>O37*Q37</f>
        <v>0</v>
      </c>
      <c r="S37" s="15">
        <f>P37*Q37</f>
        <v>0</v>
      </c>
      <c r="T37" s="16">
        <f>J35</f>
        <v>0</v>
      </c>
      <c r="U37" s="17">
        <f>O35*(1-T37)</f>
        <v>472.35419999999999</v>
      </c>
      <c r="V37" s="18">
        <f>P35*(1-T37)</f>
        <v>0.54</v>
      </c>
      <c r="W37" s="8">
        <v>159.85184176000001</v>
      </c>
      <c r="X37" s="18">
        <v>0.97</v>
      </c>
      <c r="Y37" s="8">
        <v>0.90001599999999993</v>
      </c>
    </row>
    <row r="38" spans="5:25" s="8" customFormat="1" ht="39.950000000000003" customHeight="1" x14ac:dyDescent="0.25">
      <c r="E38" s="9">
        <v>225</v>
      </c>
      <c r="F38" s="11" t="s">
        <v>496</v>
      </c>
      <c r="G38" s="36" t="s">
        <v>497</v>
      </c>
      <c r="H38" s="11" t="s">
        <v>20</v>
      </c>
      <c r="I38" s="11"/>
      <c r="J38" s="11"/>
      <c r="K38" s="13">
        <v>6916119062492</v>
      </c>
      <c r="L38" s="37">
        <v>46662</v>
      </c>
      <c r="M38" s="11" t="s">
        <v>45</v>
      </c>
      <c r="N38" s="11">
        <v>400</v>
      </c>
      <c r="O38" s="14">
        <v>1565.7666999999999</v>
      </c>
      <c r="P38" s="15">
        <v>1.79</v>
      </c>
      <c r="Q38" s="39"/>
      <c r="R38" s="14">
        <f>O38*Q38</f>
        <v>0</v>
      </c>
      <c r="S38" s="15">
        <f>P38*Q38</f>
        <v>0</v>
      </c>
      <c r="T38" s="16" t="e">
        <f>#REF!</f>
        <v>#REF!</v>
      </c>
      <c r="U38" s="17" t="e">
        <f>#REF!*(1-T38)</f>
        <v>#REF!</v>
      </c>
      <c r="V38" s="18" t="e">
        <f>#REF!*(1-T38)</f>
        <v>#REF!</v>
      </c>
      <c r="W38" s="8">
        <v>541.71050000000002</v>
      </c>
      <c r="X38" s="18">
        <v>0.97</v>
      </c>
      <c r="Y38" s="8">
        <v>3.05</v>
      </c>
    </row>
    <row r="39" spans="5:25" s="8" customFormat="1" ht="39.950000000000003" customHeight="1" x14ac:dyDescent="0.25">
      <c r="E39" s="9">
        <v>227</v>
      </c>
      <c r="F39" s="11" t="s">
        <v>500</v>
      </c>
      <c r="G39" s="36" t="s">
        <v>501</v>
      </c>
      <c r="H39" s="11" t="s">
        <v>20</v>
      </c>
      <c r="I39" s="11"/>
      <c r="J39" s="11"/>
      <c r="K39" s="13">
        <v>6916119062485</v>
      </c>
      <c r="L39" s="37">
        <v>46661</v>
      </c>
      <c r="M39" s="11" t="s">
        <v>45</v>
      </c>
      <c r="N39" s="11">
        <v>400</v>
      </c>
      <c r="O39" s="14">
        <v>1049.6759999999999</v>
      </c>
      <c r="P39" s="15">
        <v>1.2</v>
      </c>
      <c r="Q39" s="39"/>
      <c r="R39" s="14">
        <f>O39*Q39</f>
        <v>0</v>
      </c>
      <c r="S39" s="15">
        <f>P39*Q39</f>
        <v>0</v>
      </c>
      <c r="T39" s="16" t="e">
        <f>#REF!</f>
        <v>#REF!</v>
      </c>
      <c r="U39" s="17" t="e">
        <f>#REF!*(1-T39)</f>
        <v>#REF!</v>
      </c>
      <c r="V39" s="18" t="e">
        <f>#REF!*(1-T39)</f>
        <v>#REF!</v>
      </c>
      <c r="W39" s="8">
        <v>369.42880000000002</v>
      </c>
      <c r="X39" s="18">
        <v>0.97</v>
      </c>
      <c r="Y39" s="8">
        <v>2.08</v>
      </c>
    </row>
    <row r="40" spans="5:25" s="8" customFormat="1" ht="39.950000000000003" customHeight="1" x14ac:dyDescent="0.25">
      <c r="E40" s="9">
        <v>230</v>
      </c>
      <c r="F40" s="11" t="s">
        <v>506</v>
      </c>
      <c r="G40" s="36" t="s">
        <v>507</v>
      </c>
      <c r="H40" s="11" t="s">
        <v>20</v>
      </c>
      <c r="I40" s="11"/>
      <c r="J40" s="11"/>
      <c r="K40" s="13">
        <v>8909440000958</v>
      </c>
      <c r="L40" s="37">
        <v>47027</v>
      </c>
      <c r="M40" s="11" t="s">
        <v>58</v>
      </c>
      <c r="N40" s="11"/>
      <c r="O40" s="14">
        <v>4356.1553999999996</v>
      </c>
      <c r="P40" s="15">
        <v>4.9800000000000004</v>
      </c>
      <c r="Q40" s="39"/>
      <c r="R40" s="14">
        <f>O40*Q40</f>
        <v>0</v>
      </c>
      <c r="S40" s="15">
        <f>P40*Q40</f>
        <v>0</v>
      </c>
      <c r="T40" s="16" t="e">
        <f>#REF!</f>
        <v>#REF!</v>
      </c>
      <c r="U40" s="17" t="e">
        <f>#REF!*(1-T40)</f>
        <v>#REF!</v>
      </c>
      <c r="V40" s="18" t="e">
        <f>#REF!*(1-T40)</f>
        <v>#REF!</v>
      </c>
      <c r="W40" s="8">
        <v>1110.0625</v>
      </c>
      <c r="X40" s="18">
        <v>0.97</v>
      </c>
      <c r="Y40" s="8">
        <v>6.25</v>
      </c>
    </row>
    <row r="41" spans="5:25" s="8" customFormat="1" ht="39.950000000000003" customHeight="1" x14ac:dyDescent="0.25">
      <c r="E41" s="9">
        <v>231</v>
      </c>
      <c r="F41" s="11" t="s">
        <v>508</v>
      </c>
      <c r="G41" s="36" t="s">
        <v>509</v>
      </c>
      <c r="H41" s="11" t="s">
        <v>20</v>
      </c>
      <c r="I41" s="11"/>
      <c r="J41" s="11"/>
      <c r="K41" s="13">
        <v>8902297029073</v>
      </c>
      <c r="L41" s="37">
        <v>46480</v>
      </c>
      <c r="M41" s="11" t="s">
        <v>58</v>
      </c>
      <c r="N41" s="11">
        <v>200</v>
      </c>
      <c r="O41" s="14">
        <v>6114.3626999999997</v>
      </c>
      <c r="P41" s="15">
        <v>6.99</v>
      </c>
      <c r="Q41" s="39"/>
      <c r="R41" s="14">
        <f>O41*Q41</f>
        <v>0</v>
      </c>
      <c r="S41" s="15">
        <f>P41*Q41</f>
        <v>0</v>
      </c>
      <c r="T41" s="16" t="e">
        <f>#REF!</f>
        <v>#REF!</v>
      </c>
      <c r="U41" s="17" t="e">
        <f>#REF!*(1-T41)</f>
        <v>#REF!</v>
      </c>
      <c r="V41" s="18" t="e">
        <f>#REF!*(1-T41)</f>
        <v>#REF!</v>
      </c>
      <c r="W41" s="8">
        <v>1332.075</v>
      </c>
      <c r="X41" s="18">
        <v>0.97</v>
      </c>
      <c r="Y41" s="8">
        <v>7.5</v>
      </c>
    </row>
    <row r="42" spans="5:25" s="8" customFormat="1" ht="39.950000000000003" customHeight="1" x14ac:dyDescent="0.25">
      <c r="E42" s="9">
        <v>2</v>
      </c>
      <c r="F42" s="11" t="s">
        <v>23</v>
      </c>
      <c r="G42" s="22" t="s">
        <v>24</v>
      </c>
      <c r="H42" s="11" t="s">
        <v>25</v>
      </c>
      <c r="I42" s="11"/>
      <c r="J42" s="11"/>
      <c r="K42" s="13">
        <v>6916119062072</v>
      </c>
      <c r="L42" s="37">
        <v>46635</v>
      </c>
      <c r="M42" s="11" t="s">
        <v>21</v>
      </c>
      <c r="N42" s="11">
        <v>2000</v>
      </c>
      <c r="O42" s="14">
        <v>244.92439999999999</v>
      </c>
      <c r="P42" s="15">
        <v>0.28000000000000003</v>
      </c>
      <c r="Q42" s="39"/>
      <c r="R42" s="14">
        <f>O42*Q42</f>
        <v>0</v>
      </c>
      <c r="S42" s="15">
        <f>P42*Q42</f>
        <v>0</v>
      </c>
      <c r="T42" s="16">
        <f>J40</f>
        <v>0</v>
      </c>
      <c r="U42" s="17">
        <f>O40*(1-T42)</f>
        <v>4356.1553999999996</v>
      </c>
      <c r="V42" s="18">
        <f>P40*(1-T42)</f>
        <v>4.9800000000000004</v>
      </c>
      <c r="W42" s="8">
        <v>301.93700000000001</v>
      </c>
      <c r="X42" s="18">
        <v>0.97</v>
      </c>
      <c r="Y42" s="8">
        <v>1.7</v>
      </c>
    </row>
    <row r="43" spans="5:25" s="8" customFormat="1" ht="39.950000000000003" customHeight="1" x14ac:dyDescent="0.25">
      <c r="E43" s="9">
        <v>3</v>
      </c>
      <c r="F43" s="11" t="s">
        <v>27</v>
      </c>
      <c r="G43" s="22" t="s">
        <v>28</v>
      </c>
      <c r="H43" s="11" t="s">
        <v>20</v>
      </c>
      <c r="I43" s="11"/>
      <c r="J43" s="11"/>
      <c r="K43" s="13">
        <v>8909440000415</v>
      </c>
      <c r="L43" s="37">
        <v>46968</v>
      </c>
      <c r="M43" s="11" t="s">
        <v>29</v>
      </c>
      <c r="N43" s="11">
        <v>1000</v>
      </c>
      <c r="O43" s="14">
        <v>1110.9070999999999</v>
      </c>
      <c r="P43" s="15">
        <v>1.27</v>
      </c>
      <c r="Q43" s="39"/>
      <c r="R43" s="14">
        <f>O43*Q43</f>
        <v>0</v>
      </c>
      <c r="S43" s="15">
        <f>P43*Q43</f>
        <v>0</v>
      </c>
      <c r="T43" s="16" t="e">
        <f>#REF!</f>
        <v>#REF!</v>
      </c>
      <c r="U43" s="17" t="e">
        <f>#REF!*(1-T43)</f>
        <v>#REF!</v>
      </c>
      <c r="V43" s="18" t="e">
        <f>#REF!*(1-T43)</f>
        <v>#REF!</v>
      </c>
      <c r="W43" s="8">
        <v>206.02760000000001</v>
      </c>
      <c r="X43" s="18">
        <v>0.97</v>
      </c>
      <c r="Y43" s="8">
        <v>1.1599999999999999</v>
      </c>
    </row>
    <row r="44" spans="5:25" s="8" customFormat="1" ht="39.950000000000003" customHeight="1" x14ac:dyDescent="0.25">
      <c r="E44" s="9">
        <v>4</v>
      </c>
      <c r="F44" s="11" t="s">
        <v>30</v>
      </c>
      <c r="G44" s="22" t="s">
        <v>31</v>
      </c>
      <c r="H44" s="11" t="s">
        <v>32</v>
      </c>
      <c r="I44" s="11"/>
      <c r="J44" s="11"/>
      <c r="K44" s="13">
        <v>8901872008359</v>
      </c>
      <c r="L44" s="37">
        <v>47124</v>
      </c>
      <c r="M44" s="11" t="s">
        <v>29</v>
      </c>
      <c r="N44" s="11"/>
      <c r="O44" s="14">
        <v>1154.6436000000001</v>
      </c>
      <c r="P44" s="15">
        <v>1.32</v>
      </c>
      <c r="Q44" s="39"/>
      <c r="R44" s="14">
        <f>O44*Q44</f>
        <v>0</v>
      </c>
      <c r="S44" s="15">
        <f>P44*Q44</f>
        <v>0</v>
      </c>
      <c r="T44" s="16" t="e">
        <f>#REF!</f>
        <v>#REF!</v>
      </c>
      <c r="U44" s="17" t="e">
        <f>#REF!*(1-T44)</f>
        <v>#REF!</v>
      </c>
      <c r="V44" s="18" t="e">
        <f>#REF!*(1-T44)</f>
        <v>#REF!</v>
      </c>
      <c r="W44" s="8">
        <v>118.9987</v>
      </c>
      <c r="X44" s="18">
        <v>0.97</v>
      </c>
      <c r="Y44" s="8">
        <v>0.67</v>
      </c>
    </row>
    <row r="45" spans="5:25" s="8" customFormat="1" ht="39.950000000000003" customHeight="1" x14ac:dyDescent="0.25">
      <c r="E45" s="9">
        <v>5</v>
      </c>
      <c r="F45" s="11" t="s">
        <v>33</v>
      </c>
      <c r="G45" s="22" t="s">
        <v>34</v>
      </c>
      <c r="H45" s="11" t="s">
        <v>20</v>
      </c>
      <c r="I45" s="11"/>
      <c r="J45" s="11"/>
      <c r="K45" s="13">
        <v>8906044711587</v>
      </c>
      <c r="L45" s="37">
        <v>46844</v>
      </c>
      <c r="M45" s="11" t="s">
        <v>35</v>
      </c>
      <c r="N45" s="11">
        <v>216</v>
      </c>
      <c r="O45" s="14">
        <v>1093.4124999999999</v>
      </c>
      <c r="P45" s="15">
        <v>1.25</v>
      </c>
      <c r="Q45" s="39"/>
      <c r="R45" s="14">
        <f>O45*Q45</f>
        <v>0</v>
      </c>
      <c r="S45" s="15">
        <f>P45*Q45</f>
        <v>0</v>
      </c>
      <c r="T45" s="16" t="e">
        <f>#REF!</f>
        <v>#REF!</v>
      </c>
      <c r="U45" s="17" t="e">
        <f>#REF!*(1-T45)</f>
        <v>#REF!</v>
      </c>
      <c r="V45" s="18" t="e">
        <f>#REF!*(1-T45)</f>
        <v>#REF!</v>
      </c>
      <c r="W45" s="8">
        <v>225.56469999999999</v>
      </c>
      <c r="X45" s="18">
        <v>0.97</v>
      </c>
      <c r="Y45" s="8">
        <v>1.27</v>
      </c>
    </row>
    <row r="46" spans="5:25" s="8" customFormat="1" ht="39.950000000000003" customHeight="1" x14ac:dyDescent="0.25">
      <c r="E46" s="9">
        <v>7</v>
      </c>
      <c r="F46" s="11" t="s">
        <v>38</v>
      </c>
      <c r="G46" s="22" t="s">
        <v>39</v>
      </c>
      <c r="H46" s="11" t="s">
        <v>25</v>
      </c>
      <c r="I46" s="11"/>
      <c r="J46" s="11"/>
      <c r="K46" s="13">
        <v>8901872008854</v>
      </c>
      <c r="L46" s="37">
        <v>46603</v>
      </c>
      <c r="M46" s="11" t="s">
        <v>35</v>
      </c>
      <c r="N46" s="11">
        <v>3040</v>
      </c>
      <c r="O46" s="14">
        <v>192.44059999999999</v>
      </c>
      <c r="P46" s="15">
        <v>0.22</v>
      </c>
      <c r="Q46" s="39"/>
      <c r="R46" s="14">
        <f>O46*Q46</f>
        <v>0</v>
      </c>
      <c r="S46" s="15">
        <f>P46*Q46</f>
        <v>0</v>
      </c>
      <c r="T46" s="16" t="e">
        <f>#REF!</f>
        <v>#REF!</v>
      </c>
      <c r="U46" s="17" t="e">
        <f>#REF!*(1-T46)</f>
        <v>#REF!</v>
      </c>
      <c r="V46" s="18" t="e">
        <f>#REF!*(1-T46)</f>
        <v>#REF!</v>
      </c>
      <c r="W46" s="8">
        <v>184.71440000000001</v>
      </c>
      <c r="X46" s="18">
        <v>0.97</v>
      </c>
      <c r="Y46" s="8">
        <v>1.04</v>
      </c>
    </row>
    <row r="47" spans="5:25" s="8" customFormat="1" ht="39.950000000000003" customHeight="1" x14ac:dyDescent="0.25">
      <c r="E47" s="9">
        <v>8</v>
      </c>
      <c r="F47" s="11" t="s">
        <v>40</v>
      </c>
      <c r="G47" s="23" t="s">
        <v>41</v>
      </c>
      <c r="H47" s="11" t="s">
        <v>20</v>
      </c>
      <c r="I47" s="11"/>
      <c r="J47" s="11"/>
      <c r="K47" s="13">
        <v>8908020242672</v>
      </c>
      <c r="L47" s="37">
        <v>46541</v>
      </c>
      <c r="M47" s="11" t="s">
        <v>42</v>
      </c>
      <c r="N47" s="11">
        <v>100</v>
      </c>
      <c r="O47" s="14">
        <v>1661.9870000000001</v>
      </c>
      <c r="P47" s="15">
        <v>1.9</v>
      </c>
      <c r="Q47" s="39"/>
      <c r="R47" s="14">
        <f>O47*Q47</f>
        <v>0</v>
      </c>
      <c r="S47" s="15">
        <f>P47*Q47</f>
        <v>0</v>
      </c>
      <c r="T47" s="16" t="e">
        <f>#REF!</f>
        <v>#REF!</v>
      </c>
      <c r="U47" s="17" t="e">
        <f>#REF!*(1-T47)</f>
        <v>#REF!</v>
      </c>
      <c r="V47" s="18" t="e">
        <f>#REF!*(1-T47)</f>
        <v>#REF!</v>
      </c>
      <c r="W47" s="8">
        <v>85.252799999999993</v>
      </c>
      <c r="X47" s="18">
        <v>0.97</v>
      </c>
      <c r="Y47" s="8">
        <v>0.48</v>
      </c>
    </row>
    <row r="48" spans="5:25" s="8" customFormat="1" ht="39.950000000000003" customHeight="1" x14ac:dyDescent="0.25">
      <c r="E48" s="9">
        <v>10</v>
      </c>
      <c r="F48" s="11" t="s">
        <v>46</v>
      </c>
      <c r="G48" s="23" t="s">
        <v>47</v>
      </c>
      <c r="H48" s="11" t="s">
        <v>25</v>
      </c>
      <c r="I48" s="11"/>
      <c r="J48" s="11"/>
      <c r="K48" s="13">
        <v>8901463195543</v>
      </c>
      <c r="L48" s="37">
        <v>46784</v>
      </c>
      <c r="M48" s="11" t="s">
        <v>48</v>
      </c>
      <c r="N48" s="11"/>
      <c r="O48" s="14">
        <v>5143.4124000000002</v>
      </c>
      <c r="P48" s="15">
        <v>5.88</v>
      </c>
      <c r="Q48" s="39"/>
      <c r="R48" s="14">
        <f>O48*Q48</f>
        <v>0</v>
      </c>
      <c r="S48" s="15">
        <f>P48*Q48</f>
        <v>0</v>
      </c>
      <c r="T48" s="16" t="e">
        <f>#REF!</f>
        <v>#REF!</v>
      </c>
      <c r="U48" s="17" t="e">
        <f>#REF!*(1-T48)</f>
        <v>#REF!</v>
      </c>
      <c r="V48" s="18" t="e">
        <f>#REF!*(1-T48)</f>
        <v>#REF!</v>
      </c>
      <c r="W48" s="8">
        <v>181.16220000000001</v>
      </c>
      <c r="X48" s="18">
        <v>0.97</v>
      </c>
      <c r="Y48" s="8">
        <v>1.02</v>
      </c>
    </row>
    <row r="49" spans="5:25" s="8" customFormat="1" ht="39.950000000000003" customHeight="1" x14ac:dyDescent="0.25">
      <c r="E49" s="9">
        <v>11</v>
      </c>
      <c r="F49" s="11" t="s">
        <v>49</v>
      </c>
      <c r="G49" s="19" t="s">
        <v>50</v>
      </c>
      <c r="H49" s="11" t="s">
        <v>25</v>
      </c>
      <c r="I49" s="11"/>
      <c r="J49" s="11"/>
      <c r="K49" s="13">
        <v>8901463195529</v>
      </c>
      <c r="L49" s="37">
        <v>46722</v>
      </c>
      <c r="M49" s="11" t="s">
        <v>48</v>
      </c>
      <c r="N49" s="11"/>
      <c r="O49" s="14">
        <v>3428.9416000000001</v>
      </c>
      <c r="P49" s="15">
        <v>3.92</v>
      </c>
      <c r="Q49" s="39"/>
      <c r="R49" s="14">
        <f>O49*Q49</f>
        <v>0</v>
      </c>
      <c r="S49" s="15">
        <f>P49*Q49</f>
        <v>0</v>
      </c>
      <c r="T49" s="16" t="e">
        <f>#REF!</f>
        <v>#REF!</v>
      </c>
      <c r="U49" s="17" t="e">
        <f>#REF!*(1-T49)</f>
        <v>#REF!</v>
      </c>
      <c r="V49" s="18" t="e">
        <f>#REF!*(1-T49)</f>
        <v>#REF!</v>
      </c>
      <c r="W49" s="8">
        <v>159.84899999999999</v>
      </c>
      <c r="X49" s="18">
        <v>0.97</v>
      </c>
      <c r="Y49" s="8">
        <v>0.9</v>
      </c>
    </row>
    <row r="50" spans="5:25" s="8" customFormat="1" ht="39.950000000000003" customHeight="1" x14ac:dyDescent="0.25">
      <c r="E50" s="9">
        <v>12</v>
      </c>
      <c r="F50" s="11" t="s">
        <v>51</v>
      </c>
      <c r="G50" s="19" t="s">
        <v>52</v>
      </c>
      <c r="H50" s="11" t="s">
        <v>25</v>
      </c>
      <c r="I50" s="11"/>
      <c r="J50" s="11"/>
      <c r="K50" s="13">
        <v>8901463195536</v>
      </c>
      <c r="L50" s="37">
        <v>46753</v>
      </c>
      <c r="M50" s="11" t="s">
        <v>48</v>
      </c>
      <c r="N50" s="11"/>
      <c r="O50" s="14">
        <v>4137.4728999999998</v>
      </c>
      <c r="P50" s="15">
        <v>4.7300000000000004</v>
      </c>
      <c r="Q50" s="39"/>
      <c r="R50" s="14">
        <f>O50*Q50</f>
        <v>0</v>
      </c>
      <c r="S50" s="15">
        <f>P50*Q50</f>
        <v>0</v>
      </c>
      <c r="T50" s="16" t="e">
        <f>#REF!</f>
        <v>#REF!</v>
      </c>
      <c r="U50" s="17" t="e">
        <f>#REF!*(1-T50)</f>
        <v>#REF!</v>
      </c>
      <c r="V50" s="18" t="e">
        <f>#REF!*(1-T50)</f>
        <v>#REF!</v>
      </c>
      <c r="W50" s="8">
        <v>161.6251</v>
      </c>
      <c r="X50" s="18">
        <v>0.97</v>
      </c>
      <c r="Y50" s="8">
        <v>0.91</v>
      </c>
    </row>
    <row r="51" spans="5:25" s="8" customFormat="1" ht="39.950000000000003" customHeight="1" x14ac:dyDescent="0.25">
      <c r="E51" s="9">
        <v>13</v>
      </c>
      <c r="F51" s="11" t="s">
        <v>53</v>
      </c>
      <c r="G51" s="19" t="s">
        <v>54</v>
      </c>
      <c r="H51" s="11" t="s">
        <v>25</v>
      </c>
      <c r="I51" s="11"/>
      <c r="J51" s="11"/>
      <c r="K51" s="13">
        <v>8902297024610</v>
      </c>
      <c r="L51" s="37">
        <v>46997</v>
      </c>
      <c r="M51" s="11" t="s">
        <v>55</v>
      </c>
      <c r="N51" s="11">
        <v>1000</v>
      </c>
      <c r="O51" s="14">
        <v>1040.9286999999999</v>
      </c>
      <c r="P51" s="15">
        <v>1.19</v>
      </c>
      <c r="Q51" s="39"/>
      <c r="R51" s="14">
        <f>O51*Q51</f>
        <v>0</v>
      </c>
      <c r="S51" s="15">
        <f>P51*Q51</f>
        <v>0</v>
      </c>
      <c r="T51" s="16">
        <f>J49</f>
        <v>0</v>
      </c>
      <c r="U51" s="17">
        <f>O49*(1-T51)</f>
        <v>3428.9416000000001</v>
      </c>
      <c r="V51" s="18">
        <f>P49*(1-T51)</f>
        <v>3.92</v>
      </c>
      <c r="W51" s="8">
        <v>211.35589999999999</v>
      </c>
      <c r="X51" s="18">
        <v>0.97</v>
      </c>
      <c r="Y51" s="8">
        <v>1.19</v>
      </c>
    </row>
    <row r="52" spans="5:25" s="8" customFormat="1" ht="39.950000000000003" customHeight="1" x14ac:dyDescent="0.25">
      <c r="E52" s="9">
        <v>14</v>
      </c>
      <c r="F52" s="11" t="s">
        <v>56</v>
      </c>
      <c r="G52" s="19" t="s">
        <v>57</v>
      </c>
      <c r="H52" s="11" t="s">
        <v>20</v>
      </c>
      <c r="I52" s="11"/>
      <c r="J52" s="11"/>
      <c r="K52" s="13">
        <v>8909440000675</v>
      </c>
      <c r="L52" s="37">
        <v>46998</v>
      </c>
      <c r="M52" s="11" t="s">
        <v>58</v>
      </c>
      <c r="N52" s="11">
        <v>1000</v>
      </c>
      <c r="O52" s="14">
        <v>1565.7666999999999</v>
      </c>
      <c r="P52" s="15">
        <v>1.79</v>
      </c>
      <c r="Q52" s="39"/>
      <c r="R52" s="14">
        <f>O52*Q52</f>
        <v>0</v>
      </c>
      <c r="S52" s="15">
        <f>P52*Q52</f>
        <v>0</v>
      </c>
      <c r="T52" s="16" t="e">
        <f>#REF!</f>
        <v>#REF!</v>
      </c>
      <c r="U52" s="17" t="e">
        <f>#REF!*(1-T52)</f>
        <v>#REF!</v>
      </c>
      <c r="V52" s="18" t="e">
        <f>#REF!*(1-T52)</f>
        <v>#REF!</v>
      </c>
      <c r="W52" s="8">
        <v>127.8792</v>
      </c>
      <c r="X52" s="18">
        <v>0.97</v>
      </c>
      <c r="Y52" s="8">
        <v>0.72</v>
      </c>
    </row>
    <row r="53" spans="5:25" s="8" customFormat="1" ht="39.950000000000003" customHeight="1" x14ac:dyDescent="0.25">
      <c r="E53" s="9">
        <v>16</v>
      </c>
      <c r="F53" s="11" t="s">
        <v>61</v>
      </c>
      <c r="G53" s="19" t="s">
        <v>62</v>
      </c>
      <c r="H53" s="11" t="s">
        <v>20</v>
      </c>
      <c r="I53" s="11"/>
      <c r="J53" s="11"/>
      <c r="K53" s="13">
        <v>8909440000620</v>
      </c>
      <c r="L53" s="37">
        <v>46694</v>
      </c>
      <c r="M53" s="11" t="s">
        <v>48</v>
      </c>
      <c r="N53" s="11"/>
      <c r="O53" s="14">
        <v>4793.5204000000003</v>
      </c>
      <c r="P53" s="15">
        <v>5.48</v>
      </c>
      <c r="Q53" s="39"/>
      <c r="R53" s="14">
        <f>O53*Q53</f>
        <v>0</v>
      </c>
      <c r="S53" s="15">
        <f>P53*Q53</f>
        <v>0</v>
      </c>
      <c r="T53" s="16">
        <f>J51</f>
        <v>0</v>
      </c>
      <c r="U53" s="17">
        <f>O51*(1-T53)</f>
        <v>1040.9286999999999</v>
      </c>
      <c r="V53" s="18">
        <f>P51*(1-T53)</f>
        <v>1.19</v>
      </c>
      <c r="W53" s="8">
        <v>319.69799999999998</v>
      </c>
      <c r="X53" s="18">
        <v>0.97</v>
      </c>
      <c r="Y53" s="8">
        <v>1.8</v>
      </c>
    </row>
    <row r="54" spans="5:25" s="8" customFormat="1" ht="39.950000000000003" customHeight="1" x14ac:dyDescent="0.25">
      <c r="E54" s="9">
        <v>17</v>
      </c>
      <c r="F54" s="11" t="s">
        <v>63</v>
      </c>
      <c r="G54" s="19" t="s">
        <v>64</v>
      </c>
      <c r="H54" s="11" t="s">
        <v>20</v>
      </c>
      <c r="I54" s="11"/>
      <c r="J54" s="11"/>
      <c r="K54" s="13">
        <v>8902297021916</v>
      </c>
      <c r="L54" s="37">
        <v>46937</v>
      </c>
      <c r="M54" s="11" t="s">
        <v>65</v>
      </c>
      <c r="N54" s="11">
        <v>40</v>
      </c>
      <c r="O54" s="14">
        <v>1889.4168</v>
      </c>
      <c r="P54" s="15">
        <v>2.16</v>
      </c>
      <c r="Q54" s="39"/>
      <c r="R54" s="14">
        <f>O54*Q54</f>
        <v>0</v>
      </c>
      <c r="S54" s="15">
        <f>P54*Q54</f>
        <v>0</v>
      </c>
      <c r="T54" s="16"/>
      <c r="U54" s="17"/>
      <c r="V54" s="18"/>
      <c r="X54" s="18"/>
    </row>
    <row r="55" spans="5:25" s="8" customFormat="1" ht="39.950000000000003" customHeight="1" x14ac:dyDescent="0.25">
      <c r="E55" s="9">
        <v>18</v>
      </c>
      <c r="F55" s="11" t="s">
        <v>66</v>
      </c>
      <c r="G55" s="20" t="s">
        <v>67</v>
      </c>
      <c r="H55" s="11" t="s">
        <v>20</v>
      </c>
      <c r="I55" s="21" t="s">
        <v>68</v>
      </c>
      <c r="J55" s="11"/>
      <c r="K55" s="13">
        <v>8902297016516</v>
      </c>
      <c r="L55" s="37">
        <v>46485</v>
      </c>
      <c r="M55" s="11" t="s">
        <v>65</v>
      </c>
      <c r="N55" s="11">
        <v>40</v>
      </c>
      <c r="O55" s="14">
        <v>1093.4124999999999</v>
      </c>
      <c r="P55" s="15">
        <v>1.25</v>
      </c>
      <c r="Q55" s="39"/>
      <c r="R55" s="14">
        <f>O55*Q55</f>
        <v>0</v>
      </c>
      <c r="S55" s="15">
        <f>P55*Q55</f>
        <v>0</v>
      </c>
      <c r="T55" s="16"/>
      <c r="U55" s="17"/>
      <c r="V55" s="18"/>
      <c r="X55" s="18"/>
    </row>
    <row r="56" spans="5:25" s="8" customFormat="1" ht="39.950000000000003" customHeight="1" x14ac:dyDescent="0.25">
      <c r="E56" s="9">
        <v>19</v>
      </c>
      <c r="F56" s="11" t="s">
        <v>69</v>
      </c>
      <c r="G56" s="19" t="s">
        <v>70</v>
      </c>
      <c r="H56" s="11" t="s">
        <v>25</v>
      </c>
      <c r="I56" s="11"/>
      <c r="J56" s="11"/>
      <c r="K56" s="13">
        <v>6916119062355</v>
      </c>
      <c r="L56" s="37">
        <v>47058</v>
      </c>
      <c r="M56" s="11" t="s">
        <v>45</v>
      </c>
      <c r="N56" s="11">
        <v>2000</v>
      </c>
      <c r="O56" s="14">
        <v>962.20299999999997</v>
      </c>
      <c r="P56" s="15">
        <v>1.1000000000000001</v>
      </c>
      <c r="Q56" s="39"/>
      <c r="R56" s="14">
        <f>O56*Q56</f>
        <v>0</v>
      </c>
      <c r="S56" s="15">
        <f>P56*Q56</f>
        <v>0</v>
      </c>
      <c r="T56" s="16"/>
      <c r="U56" s="17"/>
      <c r="V56" s="18"/>
      <c r="X56" s="18"/>
    </row>
    <row r="57" spans="5:25" s="8" customFormat="1" ht="39.950000000000003" customHeight="1" x14ac:dyDescent="0.25">
      <c r="E57" s="9">
        <v>20</v>
      </c>
      <c r="F57" s="11" t="s">
        <v>71</v>
      </c>
      <c r="G57" s="19" t="s">
        <v>72</v>
      </c>
      <c r="H57" s="11" t="s">
        <v>20</v>
      </c>
      <c r="I57" s="11"/>
      <c r="J57" s="11"/>
      <c r="K57" s="13">
        <v>8908020242566</v>
      </c>
      <c r="L57" s="37">
        <v>46570</v>
      </c>
      <c r="M57" s="11" t="s">
        <v>58</v>
      </c>
      <c r="N57" s="11">
        <v>1000</v>
      </c>
      <c r="O57" s="14">
        <v>1705.7235000000001</v>
      </c>
      <c r="P57" s="15">
        <v>1.95</v>
      </c>
      <c r="Q57" s="39"/>
      <c r="R57" s="14">
        <f>O57*Q57</f>
        <v>0</v>
      </c>
      <c r="S57" s="15">
        <f>P57*Q57</f>
        <v>0</v>
      </c>
      <c r="T57" s="16"/>
      <c r="U57" s="17"/>
      <c r="V57" s="18"/>
      <c r="X57" s="18"/>
    </row>
    <row r="58" spans="5:25" s="8" customFormat="1" ht="39.950000000000003" customHeight="1" x14ac:dyDescent="0.25">
      <c r="E58" s="9">
        <v>21</v>
      </c>
      <c r="F58" s="11" t="s">
        <v>73</v>
      </c>
      <c r="G58" s="19" t="s">
        <v>74</v>
      </c>
      <c r="H58" s="11" t="s">
        <v>25</v>
      </c>
      <c r="I58" s="11"/>
      <c r="J58" s="11"/>
      <c r="K58" s="13">
        <v>8909440000477</v>
      </c>
      <c r="L58" s="37">
        <v>46997</v>
      </c>
      <c r="M58" s="11" t="s">
        <v>58</v>
      </c>
      <c r="N58" s="11">
        <v>2500</v>
      </c>
      <c r="O58" s="14">
        <v>271.16629999999998</v>
      </c>
      <c r="P58" s="15">
        <v>0.31</v>
      </c>
      <c r="Q58" s="39"/>
      <c r="R58" s="14">
        <f>O58*Q58</f>
        <v>0</v>
      </c>
      <c r="S58" s="15">
        <f>P58*Q58</f>
        <v>0</v>
      </c>
      <c r="T58" s="16"/>
      <c r="U58" s="17"/>
      <c r="V58" s="18"/>
      <c r="X58" s="18"/>
    </row>
    <row r="59" spans="5:25" s="8" customFormat="1" ht="39.950000000000003" customHeight="1" x14ac:dyDescent="0.25">
      <c r="E59" s="9">
        <v>22</v>
      </c>
      <c r="F59" s="11" t="s">
        <v>75</v>
      </c>
      <c r="G59" s="19" t="s">
        <v>76</v>
      </c>
      <c r="H59" s="11" t="s">
        <v>32</v>
      </c>
      <c r="I59" s="11"/>
      <c r="J59" s="11"/>
      <c r="K59" s="13">
        <v>8909440000460</v>
      </c>
      <c r="L59" s="37">
        <v>46997</v>
      </c>
      <c r="M59" s="11" t="s">
        <v>58</v>
      </c>
      <c r="N59" s="11">
        <v>300</v>
      </c>
      <c r="O59" s="14">
        <v>900.97190000000001</v>
      </c>
      <c r="P59" s="15">
        <v>1.03</v>
      </c>
      <c r="Q59" s="39"/>
      <c r="R59" s="14">
        <f>O59*Q59</f>
        <v>0</v>
      </c>
      <c r="S59" s="15">
        <f>P59*Q59</f>
        <v>0</v>
      </c>
      <c r="T59" s="16"/>
      <c r="U59" s="17"/>
      <c r="V59" s="18"/>
      <c r="X59" s="18"/>
    </row>
    <row r="60" spans="5:25" s="8" customFormat="1" ht="39.950000000000003" customHeight="1" x14ac:dyDescent="0.25">
      <c r="E60" s="9">
        <v>23</v>
      </c>
      <c r="F60" s="11" t="s">
        <v>77</v>
      </c>
      <c r="G60" s="19" t="s">
        <v>78</v>
      </c>
      <c r="H60" s="11" t="s">
        <v>25</v>
      </c>
      <c r="I60" s="11"/>
      <c r="J60" s="11"/>
      <c r="K60" s="13">
        <v>8906005116864</v>
      </c>
      <c r="L60" s="37">
        <v>46935</v>
      </c>
      <c r="M60" s="11" t="s">
        <v>58</v>
      </c>
      <c r="N60" s="11">
        <v>2500</v>
      </c>
      <c r="O60" s="14">
        <v>218.6825</v>
      </c>
      <c r="P60" s="15">
        <v>0.25</v>
      </c>
      <c r="Q60" s="39"/>
      <c r="R60" s="14">
        <f>O60*Q60</f>
        <v>0</v>
      </c>
      <c r="S60" s="15">
        <f>P60*Q60</f>
        <v>0</v>
      </c>
      <c r="T60" s="16"/>
      <c r="U60" s="17"/>
      <c r="V60" s="18"/>
      <c r="X60" s="18"/>
    </row>
    <row r="61" spans="5:25" s="8" customFormat="1" ht="39.950000000000003" customHeight="1" x14ac:dyDescent="0.25">
      <c r="E61" s="9">
        <v>24</v>
      </c>
      <c r="F61" s="11" t="s">
        <v>79</v>
      </c>
      <c r="G61" s="19" t="s">
        <v>80</v>
      </c>
      <c r="H61" s="11" t="s">
        <v>25</v>
      </c>
      <c r="I61" s="11"/>
      <c r="J61" s="11"/>
      <c r="K61" s="13">
        <v>6936292192854</v>
      </c>
      <c r="L61" s="37">
        <v>47064</v>
      </c>
      <c r="M61" s="11" t="s">
        <v>45</v>
      </c>
      <c r="N61" s="11">
        <v>1000</v>
      </c>
      <c r="O61" s="14">
        <v>830.99350000000004</v>
      </c>
      <c r="P61" s="15">
        <v>0.95</v>
      </c>
      <c r="Q61" s="39"/>
      <c r="R61" s="14">
        <f>O61*Q61</f>
        <v>0</v>
      </c>
      <c r="S61" s="15">
        <f>P61*Q61</f>
        <v>0</v>
      </c>
      <c r="T61" s="16"/>
      <c r="U61" s="17"/>
      <c r="V61" s="18"/>
      <c r="X61" s="18"/>
    </row>
    <row r="62" spans="5:25" s="8" customFormat="1" ht="39.950000000000003" customHeight="1" x14ac:dyDescent="0.25">
      <c r="E62" s="9">
        <v>25</v>
      </c>
      <c r="F62" s="11" t="s">
        <v>81</v>
      </c>
      <c r="G62" s="19" t="s">
        <v>82</v>
      </c>
      <c r="H62" s="11" t="s">
        <v>25</v>
      </c>
      <c r="I62" s="11"/>
      <c r="J62" s="11"/>
      <c r="K62" s="13">
        <v>6936292192892</v>
      </c>
      <c r="L62" s="37">
        <v>46816</v>
      </c>
      <c r="M62" s="11" t="s">
        <v>45</v>
      </c>
      <c r="N62" s="11"/>
      <c r="O62" s="14">
        <v>4286.1769999999997</v>
      </c>
      <c r="P62" s="15">
        <v>4.9000000000000004</v>
      </c>
      <c r="Q62" s="39"/>
      <c r="R62" s="14">
        <f>O62*Q62</f>
        <v>0</v>
      </c>
      <c r="S62" s="15">
        <f>P62*Q62</f>
        <v>0</v>
      </c>
      <c r="T62" s="16"/>
      <c r="U62" s="17"/>
      <c r="V62" s="18"/>
      <c r="X62" s="18"/>
    </row>
    <row r="63" spans="5:25" s="8" customFormat="1" ht="39.950000000000003" customHeight="1" x14ac:dyDescent="0.25">
      <c r="E63" s="9">
        <v>26</v>
      </c>
      <c r="F63" s="11" t="s">
        <v>83</v>
      </c>
      <c r="G63" s="19" t="s">
        <v>84</v>
      </c>
      <c r="H63" s="11" t="s">
        <v>20</v>
      </c>
      <c r="I63" s="11"/>
      <c r="J63" s="11"/>
      <c r="K63" s="13">
        <v>6936292192908</v>
      </c>
      <c r="L63" s="37">
        <v>47270</v>
      </c>
      <c r="M63" s="11" t="s">
        <v>45</v>
      </c>
      <c r="N63" s="11">
        <v>216</v>
      </c>
      <c r="O63" s="14">
        <v>865.98270000000002</v>
      </c>
      <c r="P63" s="15">
        <v>0.99</v>
      </c>
      <c r="Q63" s="39"/>
      <c r="R63" s="14">
        <f>O63*Q63</f>
        <v>0</v>
      </c>
      <c r="S63" s="15">
        <f>P63*Q63</f>
        <v>0</v>
      </c>
      <c r="T63" s="16"/>
      <c r="U63" s="17"/>
      <c r="V63" s="18"/>
      <c r="X63" s="18"/>
    </row>
    <row r="64" spans="5:25" s="8" customFormat="1" ht="39.950000000000003" customHeight="1" x14ac:dyDescent="0.25">
      <c r="E64" s="9">
        <v>27</v>
      </c>
      <c r="F64" s="11" t="s">
        <v>85</v>
      </c>
      <c r="G64" s="19" t="s">
        <v>86</v>
      </c>
      <c r="H64" s="11" t="s">
        <v>25</v>
      </c>
      <c r="I64" s="11"/>
      <c r="J64" s="11"/>
      <c r="K64" s="13">
        <v>6936292192847</v>
      </c>
      <c r="L64" s="37">
        <v>47061</v>
      </c>
      <c r="M64" s="11" t="s">
        <v>45</v>
      </c>
      <c r="N64" s="11">
        <v>1000</v>
      </c>
      <c r="O64" s="14">
        <v>822.24620000000004</v>
      </c>
      <c r="P64" s="15">
        <v>0.94</v>
      </c>
      <c r="Q64" s="39"/>
      <c r="R64" s="14">
        <f>O64*Q64</f>
        <v>0</v>
      </c>
      <c r="S64" s="15">
        <f>P64*Q64</f>
        <v>0</v>
      </c>
      <c r="T64" s="16"/>
      <c r="U64" s="17"/>
      <c r="V64" s="18"/>
      <c r="X64" s="18"/>
    </row>
    <row r="65" spans="5:24" s="8" customFormat="1" ht="39.950000000000003" customHeight="1" x14ac:dyDescent="0.25">
      <c r="E65" s="9">
        <v>28</v>
      </c>
      <c r="F65" s="11" t="s">
        <v>87</v>
      </c>
      <c r="G65" s="19" t="s">
        <v>88</v>
      </c>
      <c r="H65" s="11" t="s">
        <v>32</v>
      </c>
      <c r="I65" s="11"/>
      <c r="J65" s="11"/>
      <c r="K65" s="13">
        <v>8909440000682</v>
      </c>
      <c r="L65" s="37">
        <v>47000</v>
      </c>
      <c r="M65" s="11" t="s">
        <v>58</v>
      </c>
      <c r="N65" s="11"/>
      <c r="O65" s="14">
        <v>411.12310000000002</v>
      </c>
      <c r="P65" s="15">
        <v>0.47</v>
      </c>
      <c r="Q65" s="39"/>
      <c r="R65" s="14">
        <f>O65*Q65</f>
        <v>0</v>
      </c>
      <c r="S65" s="15">
        <f>P65*Q65</f>
        <v>0</v>
      </c>
      <c r="T65" s="16"/>
      <c r="U65" s="17"/>
      <c r="V65" s="18"/>
      <c r="X65" s="18"/>
    </row>
    <row r="66" spans="5:24" s="8" customFormat="1" ht="39.950000000000003" customHeight="1" x14ac:dyDescent="0.25">
      <c r="E66" s="9">
        <v>29</v>
      </c>
      <c r="F66" s="11" t="s">
        <v>89</v>
      </c>
      <c r="G66" s="19" t="s">
        <v>90</v>
      </c>
      <c r="H66" s="11" t="s">
        <v>20</v>
      </c>
      <c r="I66" s="11"/>
      <c r="J66" s="11"/>
      <c r="K66" s="13">
        <v>8909440000736</v>
      </c>
      <c r="L66" s="37">
        <v>46997</v>
      </c>
      <c r="M66" s="11" t="s">
        <v>58</v>
      </c>
      <c r="N66" s="11"/>
      <c r="O66" s="14">
        <v>1661.9870000000001</v>
      </c>
      <c r="P66" s="15">
        <v>1.9</v>
      </c>
      <c r="Q66" s="39"/>
      <c r="R66" s="14">
        <f>O66*Q66</f>
        <v>0</v>
      </c>
      <c r="S66" s="15">
        <f>P66*Q66</f>
        <v>0</v>
      </c>
      <c r="T66" s="16"/>
      <c r="U66" s="17"/>
      <c r="V66" s="18"/>
      <c r="X66" s="18"/>
    </row>
    <row r="67" spans="5:24" s="8" customFormat="1" ht="39.950000000000003" customHeight="1" x14ac:dyDescent="0.25">
      <c r="E67" s="9">
        <v>30</v>
      </c>
      <c r="F67" s="11" t="s">
        <v>91</v>
      </c>
      <c r="G67" s="19" t="s">
        <v>92</v>
      </c>
      <c r="H67" s="11" t="s">
        <v>32</v>
      </c>
      <c r="I67" s="11"/>
      <c r="J67" s="11"/>
      <c r="K67" s="13">
        <v>8901872009660</v>
      </c>
      <c r="L67" s="37">
        <v>47059</v>
      </c>
      <c r="M67" s="11" t="s">
        <v>58</v>
      </c>
      <c r="N67" s="11"/>
      <c r="O67" s="14">
        <v>376.13389999999998</v>
      </c>
      <c r="P67" s="15">
        <v>0.43</v>
      </c>
      <c r="Q67" s="39"/>
      <c r="R67" s="14">
        <f>O67*Q67</f>
        <v>0</v>
      </c>
      <c r="S67" s="15">
        <f>P67*Q67</f>
        <v>0</v>
      </c>
      <c r="T67" s="16"/>
      <c r="U67" s="17"/>
      <c r="V67" s="18"/>
      <c r="X67" s="18"/>
    </row>
    <row r="68" spans="5:24" s="8" customFormat="1" ht="39.950000000000003" customHeight="1" x14ac:dyDescent="0.25">
      <c r="E68" s="9">
        <v>31</v>
      </c>
      <c r="F68" s="11" t="s">
        <v>93</v>
      </c>
      <c r="G68" s="19" t="s">
        <v>94</v>
      </c>
      <c r="H68" s="11" t="s">
        <v>20</v>
      </c>
      <c r="I68" s="11"/>
      <c r="J68" s="11"/>
      <c r="K68" s="13">
        <v>8901872009707</v>
      </c>
      <c r="L68" s="37">
        <v>47119</v>
      </c>
      <c r="M68" s="11" t="s">
        <v>58</v>
      </c>
      <c r="N68" s="11"/>
      <c r="O68" s="14">
        <v>1443.3045</v>
      </c>
      <c r="P68" s="15">
        <v>1.65</v>
      </c>
      <c r="Q68" s="39"/>
      <c r="R68" s="14">
        <f>O68*Q68</f>
        <v>0</v>
      </c>
      <c r="S68" s="15">
        <f>P68*Q68</f>
        <v>0</v>
      </c>
      <c r="T68" s="16"/>
      <c r="U68" s="17"/>
      <c r="V68" s="18"/>
      <c r="X68" s="18"/>
    </row>
    <row r="69" spans="5:24" s="8" customFormat="1" ht="39.950000000000003" customHeight="1" x14ac:dyDescent="0.25">
      <c r="E69" s="9">
        <v>32</v>
      </c>
      <c r="F69" s="11" t="s">
        <v>95</v>
      </c>
      <c r="G69" s="19" t="s">
        <v>96</v>
      </c>
      <c r="H69" s="11" t="s">
        <v>25</v>
      </c>
      <c r="I69" s="11"/>
      <c r="J69" s="11"/>
      <c r="K69" s="13">
        <v>8909440000378</v>
      </c>
      <c r="L69" s="37">
        <v>46974</v>
      </c>
      <c r="M69" s="11" t="s">
        <v>58</v>
      </c>
      <c r="N69" s="11">
        <v>2500</v>
      </c>
      <c r="O69" s="14">
        <v>603.56370000000004</v>
      </c>
      <c r="P69" s="15">
        <v>0.69</v>
      </c>
      <c r="Q69" s="39"/>
      <c r="R69" s="14">
        <f>O69*Q69</f>
        <v>0</v>
      </c>
      <c r="S69" s="15">
        <f>P69*Q69</f>
        <v>0</v>
      </c>
      <c r="T69" s="16"/>
      <c r="U69" s="17"/>
      <c r="V69" s="18"/>
      <c r="X69" s="18"/>
    </row>
    <row r="70" spans="5:24" s="8" customFormat="1" ht="39.950000000000003" customHeight="1" x14ac:dyDescent="0.25">
      <c r="E70" s="9">
        <v>33</v>
      </c>
      <c r="F70" s="11" t="s">
        <v>97</v>
      </c>
      <c r="G70" s="19" t="s">
        <v>98</v>
      </c>
      <c r="H70" s="11" t="s">
        <v>25</v>
      </c>
      <c r="I70" s="11"/>
      <c r="J70" s="11"/>
      <c r="K70" s="13">
        <v>8901872008373</v>
      </c>
      <c r="L70" s="37">
        <v>47180</v>
      </c>
      <c r="M70" s="11" t="s">
        <v>58</v>
      </c>
      <c r="N70" s="11"/>
      <c r="O70" s="14">
        <v>1399.568</v>
      </c>
      <c r="P70" s="15">
        <v>1.6</v>
      </c>
      <c r="Q70" s="39"/>
      <c r="R70" s="14">
        <f>O70*Q70</f>
        <v>0</v>
      </c>
      <c r="S70" s="15">
        <f>P70*Q70</f>
        <v>0</v>
      </c>
      <c r="T70" s="16"/>
      <c r="U70" s="17"/>
      <c r="V70" s="18"/>
      <c r="X70" s="18"/>
    </row>
    <row r="71" spans="5:24" s="8" customFormat="1" ht="39.950000000000003" customHeight="1" x14ac:dyDescent="0.25">
      <c r="E71" s="9">
        <v>34</v>
      </c>
      <c r="F71" s="11" t="s">
        <v>99</v>
      </c>
      <c r="G71" s="19" t="s">
        <v>100</v>
      </c>
      <c r="H71" s="11" t="s">
        <v>25</v>
      </c>
      <c r="I71" s="11"/>
      <c r="J71" s="11"/>
      <c r="K71" s="13">
        <v>8901872008892</v>
      </c>
      <c r="L71" s="37">
        <v>47178</v>
      </c>
      <c r="M71" s="11" t="s">
        <v>58</v>
      </c>
      <c r="N71" s="11"/>
      <c r="O71" s="14">
        <v>2974.0819999999999</v>
      </c>
      <c r="P71" s="15">
        <v>3.4</v>
      </c>
      <c r="Q71" s="39"/>
      <c r="R71" s="14">
        <f>O71*Q71</f>
        <v>0</v>
      </c>
      <c r="S71" s="15">
        <f>P71*Q71</f>
        <v>0</v>
      </c>
      <c r="T71" s="16"/>
      <c r="U71" s="17"/>
      <c r="V71" s="18"/>
      <c r="X71" s="18"/>
    </row>
    <row r="72" spans="5:24" s="8" customFormat="1" ht="39.950000000000003" customHeight="1" x14ac:dyDescent="0.25">
      <c r="E72" s="9">
        <v>35</v>
      </c>
      <c r="F72" s="11" t="s">
        <v>101</v>
      </c>
      <c r="G72" s="19" t="s">
        <v>102</v>
      </c>
      <c r="H72" s="11" t="s">
        <v>20</v>
      </c>
      <c r="I72" s="11"/>
      <c r="J72" s="11"/>
      <c r="K72" s="13">
        <v>8906188190347</v>
      </c>
      <c r="L72" s="37">
        <v>46724</v>
      </c>
      <c r="M72" s="11" t="s">
        <v>35</v>
      </c>
      <c r="N72" s="11">
        <v>100</v>
      </c>
      <c r="O72" s="14">
        <v>2956.5873999999999</v>
      </c>
      <c r="P72" s="15">
        <v>3.38</v>
      </c>
      <c r="Q72" s="39"/>
      <c r="R72" s="14">
        <f>O72*Q72</f>
        <v>0</v>
      </c>
      <c r="S72" s="15">
        <f>P72*Q72</f>
        <v>0</v>
      </c>
      <c r="T72" s="16"/>
      <c r="U72" s="17"/>
      <c r="V72" s="18"/>
      <c r="X72" s="18"/>
    </row>
    <row r="73" spans="5:24" s="8" customFormat="1" ht="39.950000000000003" customHeight="1" x14ac:dyDescent="0.25">
      <c r="E73" s="9">
        <v>36</v>
      </c>
      <c r="F73" s="11" t="s">
        <v>103</v>
      </c>
      <c r="G73" s="19" t="s">
        <v>104</v>
      </c>
      <c r="H73" s="11" t="s">
        <v>25</v>
      </c>
      <c r="I73" s="11"/>
      <c r="J73" s="11"/>
      <c r="K73" s="13">
        <v>6916119062034</v>
      </c>
      <c r="L73" s="37">
        <v>46814</v>
      </c>
      <c r="M73" s="11" t="s">
        <v>45</v>
      </c>
      <c r="N73" s="11">
        <v>400</v>
      </c>
      <c r="O73" s="14">
        <v>787.25699999999995</v>
      </c>
      <c r="P73" s="15">
        <v>0.9</v>
      </c>
      <c r="Q73" s="39"/>
      <c r="R73" s="14">
        <f>O73*Q73</f>
        <v>0</v>
      </c>
      <c r="S73" s="15">
        <f>P73*Q73</f>
        <v>0</v>
      </c>
      <c r="T73" s="16"/>
      <c r="U73" s="17"/>
      <c r="V73" s="18"/>
      <c r="X73" s="18"/>
    </row>
    <row r="74" spans="5:24" s="8" customFormat="1" ht="39.950000000000003" customHeight="1" x14ac:dyDescent="0.25">
      <c r="E74" s="9">
        <v>37</v>
      </c>
      <c r="F74" s="11" t="s">
        <v>105</v>
      </c>
      <c r="G74" s="19" t="s">
        <v>106</v>
      </c>
      <c r="H74" s="11" t="s">
        <v>25</v>
      </c>
      <c r="I74" s="11"/>
      <c r="J74" s="11"/>
      <c r="K74" s="13">
        <v>8902297025037</v>
      </c>
      <c r="L74" s="37">
        <v>46753</v>
      </c>
      <c r="M74" s="11" t="s">
        <v>55</v>
      </c>
      <c r="N74" s="11"/>
      <c r="O74" s="14">
        <v>5921.9220999999998</v>
      </c>
      <c r="P74" s="15">
        <v>6.77</v>
      </c>
      <c r="Q74" s="39"/>
      <c r="R74" s="14">
        <f>O74*Q74</f>
        <v>0</v>
      </c>
      <c r="S74" s="15">
        <f>P74*Q74</f>
        <v>0</v>
      </c>
      <c r="T74" s="16"/>
      <c r="U74" s="17"/>
      <c r="V74" s="18"/>
      <c r="X74" s="18"/>
    </row>
    <row r="75" spans="5:24" s="8" customFormat="1" ht="39.950000000000003" customHeight="1" x14ac:dyDescent="0.25">
      <c r="E75" s="9">
        <v>38</v>
      </c>
      <c r="F75" s="11" t="s">
        <v>107</v>
      </c>
      <c r="G75" s="19" t="s">
        <v>108</v>
      </c>
      <c r="H75" s="11" t="s">
        <v>25</v>
      </c>
      <c r="I75" s="11"/>
      <c r="J75" s="11"/>
      <c r="K75" s="13">
        <v>8902297020018</v>
      </c>
      <c r="L75" s="37">
        <v>46792</v>
      </c>
      <c r="M75" s="11" t="s">
        <v>55</v>
      </c>
      <c r="N75" s="11"/>
      <c r="O75" s="14">
        <v>6507.9912000000004</v>
      </c>
      <c r="P75" s="15">
        <v>7.44</v>
      </c>
      <c r="Q75" s="39"/>
      <c r="R75" s="14">
        <f>O75*Q75</f>
        <v>0</v>
      </c>
      <c r="S75" s="15">
        <f>P75*Q75</f>
        <v>0</v>
      </c>
      <c r="T75" s="16"/>
      <c r="U75" s="17"/>
      <c r="V75" s="18"/>
      <c r="X75" s="18"/>
    </row>
    <row r="76" spans="5:24" s="8" customFormat="1" ht="39.950000000000003" customHeight="1" x14ac:dyDescent="0.25">
      <c r="E76" s="9">
        <v>39</v>
      </c>
      <c r="F76" s="11" t="s">
        <v>109</v>
      </c>
      <c r="G76" s="19" t="s">
        <v>110</v>
      </c>
      <c r="H76" s="11" t="s">
        <v>32</v>
      </c>
      <c r="I76" s="11"/>
      <c r="J76" s="11"/>
      <c r="K76" s="13">
        <v>8906001557616</v>
      </c>
      <c r="L76" s="37">
        <v>46724</v>
      </c>
      <c r="M76" s="11" t="s">
        <v>111</v>
      </c>
      <c r="N76" s="11">
        <v>450</v>
      </c>
      <c r="O76" s="14">
        <v>1968.1424999999999</v>
      </c>
      <c r="P76" s="15">
        <v>2.25</v>
      </c>
      <c r="Q76" s="39"/>
      <c r="R76" s="14">
        <f>O76*Q76</f>
        <v>0</v>
      </c>
      <c r="S76" s="15">
        <f>P76*Q76</f>
        <v>0</v>
      </c>
      <c r="T76" s="16"/>
      <c r="U76" s="17"/>
      <c r="V76" s="18"/>
      <c r="X76" s="18"/>
    </row>
    <row r="77" spans="5:24" s="8" customFormat="1" ht="39.950000000000003" customHeight="1" x14ac:dyDescent="0.25">
      <c r="E77" s="9">
        <v>40</v>
      </c>
      <c r="F77" s="11" t="s">
        <v>112</v>
      </c>
      <c r="G77" s="19" t="s">
        <v>113</v>
      </c>
      <c r="H77" s="11" t="s">
        <v>32</v>
      </c>
      <c r="I77" s="11"/>
      <c r="J77" s="11"/>
      <c r="K77" s="13">
        <v>8906044710894</v>
      </c>
      <c r="L77" s="37">
        <v>47058</v>
      </c>
      <c r="M77" s="11" t="s">
        <v>42</v>
      </c>
      <c r="N77" s="11"/>
      <c r="O77" s="14">
        <v>726.02589999999998</v>
      </c>
      <c r="P77" s="15">
        <v>0.83</v>
      </c>
      <c r="Q77" s="39"/>
      <c r="R77" s="14">
        <f>O77*Q77</f>
        <v>0</v>
      </c>
      <c r="S77" s="15">
        <f>P77*Q77</f>
        <v>0</v>
      </c>
      <c r="T77" s="16"/>
      <c r="U77" s="17"/>
      <c r="V77" s="18"/>
      <c r="X77" s="18"/>
    </row>
    <row r="78" spans="5:24" s="8" customFormat="1" ht="39.950000000000003" customHeight="1" x14ac:dyDescent="0.25">
      <c r="E78" s="9">
        <v>41</v>
      </c>
      <c r="F78" s="11" t="s">
        <v>114</v>
      </c>
      <c r="G78" s="19" t="s">
        <v>115</v>
      </c>
      <c r="H78" s="11" t="s">
        <v>25</v>
      </c>
      <c r="I78" s="11"/>
      <c r="J78" s="11"/>
      <c r="K78" s="13">
        <v>8902297021848</v>
      </c>
      <c r="L78" s="37">
        <v>46753</v>
      </c>
      <c r="M78" s="11" t="s">
        <v>116</v>
      </c>
      <c r="N78" s="11"/>
      <c r="O78" s="14">
        <v>271.16629999999998</v>
      </c>
      <c r="P78" s="15">
        <v>0.31</v>
      </c>
      <c r="Q78" s="39"/>
      <c r="R78" s="14">
        <f>O78*Q78</f>
        <v>0</v>
      </c>
      <c r="S78" s="15">
        <f>P78*Q78</f>
        <v>0</v>
      </c>
      <c r="T78" s="16"/>
      <c r="U78" s="17"/>
      <c r="V78" s="18"/>
      <c r="X78" s="18"/>
    </row>
    <row r="79" spans="5:24" s="8" customFormat="1" ht="39.950000000000003" customHeight="1" x14ac:dyDescent="0.25">
      <c r="E79" s="9">
        <v>42</v>
      </c>
      <c r="F79" s="11" t="s">
        <v>117</v>
      </c>
      <c r="G79" s="19" t="s">
        <v>118</v>
      </c>
      <c r="H79" s="11" t="s">
        <v>20</v>
      </c>
      <c r="I79" s="11"/>
      <c r="J79" s="11"/>
      <c r="K79" s="13">
        <v>8906001559443</v>
      </c>
      <c r="L79" s="37">
        <v>46785</v>
      </c>
      <c r="M79" s="11" t="s">
        <v>111</v>
      </c>
      <c r="N79" s="11">
        <v>600</v>
      </c>
      <c r="O79" s="14">
        <v>1618.2505000000001</v>
      </c>
      <c r="P79" s="15">
        <v>1.85</v>
      </c>
      <c r="Q79" s="39"/>
      <c r="R79" s="14">
        <f>O79*Q79</f>
        <v>0</v>
      </c>
      <c r="S79" s="15">
        <f>P79*Q79</f>
        <v>0</v>
      </c>
      <c r="T79" s="16"/>
      <c r="U79" s="17"/>
      <c r="V79" s="18"/>
      <c r="X79" s="18"/>
    </row>
    <row r="80" spans="5:24" s="8" customFormat="1" ht="39.950000000000003" customHeight="1" x14ac:dyDescent="0.25">
      <c r="E80" s="9">
        <v>43</v>
      </c>
      <c r="F80" s="11" t="s">
        <v>119</v>
      </c>
      <c r="G80" s="19" t="s">
        <v>120</v>
      </c>
      <c r="H80" s="11" t="s">
        <v>25</v>
      </c>
      <c r="I80" s="11"/>
      <c r="J80" s="11"/>
      <c r="K80" s="13">
        <v>8902297025167</v>
      </c>
      <c r="L80" s="37">
        <v>46722</v>
      </c>
      <c r="M80" s="11" t="s">
        <v>55</v>
      </c>
      <c r="N80" s="11">
        <v>2000</v>
      </c>
      <c r="O80" s="14">
        <v>830.99350000000004</v>
      </c>
      <c r="P80" s="15">
        <v>0.95</v>
      </c>
      <c r="Q80" s="39"/>
      <c r="R80" s="14">
        <f>O80*Q80</f>
        <v>0</v>
      </c>
      <c r="S80" s="15">
        <f>P80*Q80</f>
        <v>0</v>
      </c>
      <c r="T80" s="16"/>
      <c r="U80" s="17"/>
      <c r="V80" s="18"/>
      <c r="X80" s="18"/>
    </row>
    <row r="81" spans="5:24" s="8" customFormat="1" ht="39.950000000000003" customHeight="1" x14ac:dyDescent="0.25">
      <c r="E81" s="9">
        <v>44</v>
      </c>
      <c r="F81" s="11" t="s">
        <v>121</v>
      </c>
      <c r="G81" s="20" t="s">
        <v>122</v>
      </c>
      <c r="H81" s="11" t="s">
        <v>32</v>
      </c>
      <c r="I81" s="21" t="s">
        <v>68</v>
      </c>
      <c r="J81" s="11"/>
      <c r="K81" s="13">
        <v>8902297024580</v>
      </c>
      <c r="L81" s="37">
        <v>46850</v>
      </c>
      <c r="M81" s="11" t="s">
        <v>65</v>
      </c>
      <c r="N81" s="11">
        <v>40</v>
      </c>
      <c r="O81" s="14">
        <v>1530.7774999999999</v>
      </c>
      <c r="P81" s="15">
        <v>1.75</v>
      </c>
      <c r="Q81" s="39"/>
      <c r="R81" s="14">
        <f>O81*Q81</f>
        <v>0</v>
      </c>
      <c r="S81" s="15">
        <f>P81*Q81</f>
        <v>0</v>
      </c>
      <c r="T81" s="16"/>
      <c r="U81" s="17"/>
      <c r="V81" s="18"/>
      <c r="X81" s="18"/>
    </row>
    <row r="82" spans="5:24" s="8" customFormat="1" ht="39.950000000000003" customHeight="1" x14ac:dyDescent="0.25">
      <c r="E82" s="9">
        <v>45</v>
      </c>
      <c r="F82" s="11" t="s">
        <v>123</v>
      </c>
      <c r="G82" s="20" t="s">
        <v>124</v>
      </c>
      <c r="H82" s="11" t="s">
        <v>32</v>
      </c>
      <c r="I82" s="21" t="s">
        <v>68</v>
      </c>
      <c r="J82" s="11"/>
      <c r="K82" s="13">
        <v>8902297024573</v>
      </c>
      <c r="L82" s="37">
        <v>46848</v>
      </c>
      <c r="M82" s="11" t="s">
        <v>65</v>
      </c>
      <c r="N82" s="11">
        <v>40</v>
      </c>
      <c r="O82" s="14">
        <v>1836.933</v>
      </c>
      <c r="P82" s="15">
        <v>2.1</v>
      </c>
      <c r="Q82" s="39"/>
      <c r="R82" s="14">
        <f>O82*Q82</f>
        <v>0</v>
      </c>
      <c r="S82" s="15">
        <f>P82*Q82</f>
        <v>0</v>
      </c>
      <c r="T82" s="16"/>
      <c r="U82" s="17"/>
      <c r="V82" s="18"/>
      <c r="X82" s="18"/>
    </row>
    <row r="83" spans="5:24" s="8" customFormat="1" ht="39.950000000000003" customHeight="1" x14ac:dyDescent="0.25">
      <c r="E83" s="9">
        <v>46</v>
      </c>
      <c r="F83" s="11" t="s">
        <v>125</v>
      </c>
      <c r="G83" s="19" t="s">
        <v>126</v>
      </c>
      <c r="H83" s="11" t="s">
        <v>32</v>
      </c>
      <c r="I83" s="11"/>
      <c r="J83" s="11"/>
      <c r="K83" s="13">
        <v>8906044712010</v>
      </c>
      <c r="L83" s="38">
        <v>46359</v>
      </c>
      <c r="M83" s="11" t="s">
        <v>65</v>
      </c>
      <c r="N83" s="11">
        <v>600</v>
      </c>
      <c r="O83" s="14">
        <v>1740.7127</v>
      </c>
      <c r="P83" s="15">
        <v>1.99</v>
      </c>
      <c r="Q83" s="39"/>
      <c r="R83" s="14">
        <f>O83*Q83</f>
        <v>0</v>
      </c>
      <c r="S83" s="15">
        <f>P83*Q83</f>
        <v>0</v>
      </c>
      <c r="T83" s="16"/>
      <c r="U83" s="17"/>
      <c r="V83" s="18"/>
      <c r="X83" s="18"/>
    </row>
    <row r="84" spans="5:24" s="8" customFormat="1" ht="39.950000000000003" customHeight="1" x14ac:dyDescent="0.25">
      <c r="E84" s="9">
        <v>47</v>
      </c>
      <c r="F84" s="11" t="s">
        <v>127</v>
      </c>
      <c r="G84" s="19" t="s">
        <v>128</v>
      </c>
      <c r="H84" s="11" t="s">
        <v>20</v>
      </c>
      <c r="I84" s="11"/>
      <c r="J84" s="11"/>
      <c r="K84" s="13">
        <v>8906044711037</v>
      </c>
      <c r="L84" s="37">
        <v>46874</v>
      </c>
      <c r="M84" s="11" t="s">
        <v>65</v>
      </c>
      <c r="N84" s="11">
        <v>160</v>
      </c>
      <c r="O84" s="14">
        <v>6158.0991999999997</v>
      </c>
      <c r="P84" s="15">
        <v>7.04</v>
      </c>
      <c r="Q84" s="39"/>
      <c r="R84" s="14">
        <f>O84*Q84</f>
        <v>0</v>
      </c>
      <c r="S84" s="15">
        <f>P84*Q84</f>
        <v>0</v>
      </c>
      <c r="T84" s="16"/>
      <c r="U84" s="17"/>
      <c r="V84" s="18"/>
      <c r="X84" s="18"/>
    </row>
    <row r="85" spans="5:24" s="8" customFormat="1" ht="39.950000000000003" customHeight="1" x14ac:dyDescent="0.25">
      <c r="E85" s="9">
        <v>49</v>
      </c>
      <c r="F85" s="11" t="s">
        <v>131</v>
      </c>
      <c r="G85" s="19" t="s">
        <v>132</v>
      </c>
      <c r="H85" s="11" t="s">
        <v>32</v>
      </c>
      <c r="I85" s="11"/>
      <c r="J85" s="11"/>
      <c r="K85" s="13">
        <v>6916119062119</v>
      </c>
      <c r="L85" s="37">
        <v>46967</v>
      </c>
      <c r="M85" s="11" t="s">
        <v>58</v>
      </c>
      <c r="N85" s="11">
        <v>2000</v>
      </c>
      <c r="O85" s="14">
        <v>393.62849999999997</v>
      </c>
      <c r="P85" s="15">
        <v>0.45</v>
      </c>
      <c r="Q85" s="39"/>
      <c r="R85" s="14">
        <f>O85*Q85</f>
        <v>0</v>
      </c>
      <c r="S85" s="15">
        <f>P85*Q85</f>
        <v>0</v>
      </c>
      <c r="T85" s="16"/>
      <c r="U85" s="17"/>
      <c r="V85" s="18"/>
      <c r="X85" s="18"/>
    </row>
    <row r="86" spans="5:24" s="8" customFormat="1" ht="39.950000000000003" customHeight="1" x14ac:dyDescent="0.25">
      <c r="E86" s="9">
        <v>50</v>
      </c>
      <c r="F86" s="11" t="s">
        <v>133</v>
      </c>
      <c r="G86" s="19" t="s">
        <v>134</v>
      </c>
      <c r="H86" s="11" t="s">
        <v>20</v>
      </c>
      <c r="I86" s="11"/>
      <c r="J86" s="11"/>
      <c r="K86" s="13">
        <v>6925881203316</v>
      </c>
      <c r="L86" s="37">
        <v>46753</v>
      </c>
      <c r="M86" s="11" t="s">
        <v>58</v>
      </c>
      <c r="N86" s="11">
        <v>2000</v>
      </c>
      <c r="O86" s="14">
        <v>524.83799999999997</v>
      </c>
      <c r="P86" s="15">
        <v>0.6</v>
      </c>
      <c r="Q86" s="39"/>
      <c r="R86" s="14">
        <f>O86*Q86</f>
        <v>0</v>
      </c>
      <c r="S86" s="15">
        <f>P86*Q86</f>
        <v>0</v>
      </c>
      <c r="T86" s="16"/>
      <c r="U86" s="17"/>
      <c r="V86" s="18"/>
      <c r="X86" s="18"/>
    </row>
    <row r="87" spans="5:24" s="8" customFormat="1" ht="39.950000000000003" customHeight="1" x14ac:dyDescent="0.25">
      <c r="E87" s="9">
        <v>51</v>
      </c>
      <c r="F87" s="11" t="s">
        <v>135</v>
      </c>
      <c r="G87" s="19" t="s">
        <v>136</v>
      </c>
      <c r="H87" s="11" t="s">
        <v>25</v>
      </c>
      <c r="I87" s="11"/>
      <c r="J87" s="11"/>
      <c r="K87" s="13">
        <v>8901872008847</v>
      </c>
      <c r="L87" s="37">
        <v>46693</v>
      </c>
      <c r="M87" s="11" t="s">
        <v>42</v>
      </c>
      <c r="N87" s="11">
        <v>2400</v>
      </c>
      <c r="O87" s="14">
        <v>900.97190000000001</v>
      </c>
      <c r="P87" s="15">
        <v>1.03</v>
      </c>
      <c r="Q87" s="39"/>
      <c r="R87" s="14">
        <f>O87*Q87</f>
        <v>0</v>
      </c>
      <c r="S87" s="15">
        <f>P87*Q87</f>
        <v>0</v>
      </c>
      <c r="T87" s="16"/>
      <c r="U87" s="17"/>
      <c r="V87" s="18"/>
      <c r="X87" s="18"/>
    </row>
    <row r="88" spans="5:24" s="8" customFormat="1" ht="39.950000000000003" customHeight="1" x14ac:dyDescent="0.25">
      <c r="E88" s="9">
        <v>52</v>
      </c>
      <c r="F88" s="11" t="s">
        <v>137</v>
      </c>
      <c r="G88" s="19" t="s">
        <v>138</v>
      </c>
      <c r="H88" s="11" t="s">
        <v>25</v>
      </c>
      <c r="I88" s="11"/>
      <c r="J88" s="11"/>
      <c r="K88" s="13">
        <v>8902297022371</v>
      </c>
      <c r="L88" s="37">
        <v>47120</v>
      </c>
      <c r="M88" s="11" t="s">
        <v>58</v>
      </c>
      <c r="N88" s="11"/>
      <c r="O88" s="14">
        <v>551.07989999999995</v>
      </c>
      <c r="P88" s="15">
        <v>0.63</v>
      </c>
      <c r="Q88" s="39"/>
      <c r="R88" s="14">
        <f>O88*Q88</f>
        <v>0</v>
      </c>
      <c r="S88" s="15">
        <f>P88*Q88</f>
        <v>0</v>
      </c>
      <c r="T88" s="16"/>
      <c r="U88" s="17"/>
      <c r="V88" s="18"/>
      <c r="X88" s="18"/>
    </row>
    <row r="89" spans="5:24" s="8" customFormat="1" ht="39.950000000000003" customHeight="1" x14ac:dyDescent="0.25">
      <c r="E89" s="9">
        <v>53</v>
      </c>
      <c r="F89" s="11" t="s">
        <v>139</v>
      </c>
      <c r="G89" s="19" t="s">
        <v>140</v>
      </c>
      <c r="H89" s="11" t="s">
        <v>25</v>
      </c>
      <c r="I89" s="13"/>
      <c r="J89" s="11"/>
      <c r="K89" s="13">
        <v>8902297122378</v>
      </c>
      <c r="L89" s="37">
        <v>47119</v>
      </c>
      <c r="M89" s="11" t="s">
        <v>58</v>
      </c>
      <c r="N89" s="11"/>
      <c r="O89" s="14">
        <v>1924.4059999999999</v>
      </c>
      <c r="P89" s="15">
        <v>2.2000000000000002</v>
      </c>
      <c r="Q89" s="39"/>
      <c r="R89" s="14">
        <f>O89*Q89</f>
        <v>0</v>
      </c>
      <c r="S89" s="15">
        <f>P89*Q89</f>
        <v>0</v>
      </c>
      <c r="T89" s="16"/>
      <c r="U89" s="17"/>
      <c r="V89" s="18"/>
      <c r="X89" s="18"/>
    </row>
    <row r="90" spans="5:24" s="8" customFormat="1" ht="39.950000000000003" customHeight="1" x14ac:dyDescent="0.25">
      <c r="E90" s="9">
        <v>54</v>
      </c>
      <c r="F90" s="11" t="s">
        <v>141</v>
      </c>
      <c r="G90" s="19" t="s">
        <v>142</v>
      </c>
      <c r="H90" s="11" t="s">
        <v>32</v>
      </c>
      <c r="I90" s="13"/>
      <c r="J90" s="11"/>
      <c r="K90" s="13">
        <v>8902297024122</v>
      </c>
      <c r="L90" s="37">
        <v>47120</v>
      </c>
      <c r="M90" s="11" t="s">
        <v>58</v>
      </c>
      <c r="N90" s="11"/>
      <c r="O90" s="14">
        <v>778.50969999999995</v>
      </c>
      <c r="P90" s="15">
        <v>0.89</v>
      </c>
      <c r="Q90" s="39"/>
      <c r="R90" s="14">
        <f>O90*Q90</f>
        <v>0</v>
      </c>
      <c r="S90" s="15">
        <f>P90*Q90</f>
        <v>0</v>
      </c>
      <c r="T90" s="16"/>
      <c r="U90" s="17"/>
      <c r="V90" s="18"/>
      <c r="X90" s="18"/>
    </row>
    <row r="91" spans="5:24" s="8" customFormat="1" ht="39.950000000000003" customHeight="1" x14ac:dyDescent="0.25">
      <c r="E91" s="9">
        <v>55</v>
      </c>
      <c r="F91" s="11" t="s">
        <v>143</v>
      </c>
      <c r="G91" s="19" t="s">
        <v>144</v>
      </c>
      <c r="H91" s="11" t="s">
        <v>20</v>
      </c>
      <c r="I91" s="11"/>
      <c r="J91" s="11"/>
      <c r="K91" s="13">
        <v>8902297024122</v>
      </c>
      <c r="L91" s="37">
        <v>47119</v>
      </c>
      <c r="M91" s="11" t="s">
        <v>58</v>
      </c>
      <c r="N91" s="11"/>
      <c r="O91" s="14">
        <v>2912.8508999999999</v>
      </c>
      <c r="P91" s="15">
        <v>3.33</v>
      </c>
      <c r="Q91" s="39"/>
      <c r="R91" s="14">
        <f>O91*Q91</f>
        <v>0</v>
      </c>
      <c r="S91" s="15">
        <f>P91*Q91</f>
        <v>0</v>
      </c>
      <c r="T91" s="16"/>
      <c r="U91" s="17"/>
      <c r="V91" s="18"/>
      <c r="X91" s="18"/>
    </row>
    <row r="92" spans="5:24" s="8" customFormat="1" ht="39.950000000000003" customHeight="1" x14ac:dyDescent="0.25">
      <c r="E92" s="9">
        <v>56</v>
      </c>
      <c r="F92" s="11" t="s">
        <v>145</v>
      </c>
      <c r="G92" s="19" t="s">
        <v>146</v>
      </c>
      <c r="H92" s="11" t="s">
        <v>25</v>
      </c>
      <c r="I92" s="11"/>
      <c r="J92" s="11"/>
      <c r="K92" s="13">
        <v>8902297022388</v>
      </c>
      <c r="L92" s="37">
        <v>47120</v>
      </c>
      <c r="M92" s="11" t="s">
        <v>58</v>
      </c>
      <c r="N92" s="11"/>
      <c r="O92" s="14">
        <v>463.6069</v>
      </c>
      <c r="P92" s="15">
        <v>0.53</v>
      </c>
      <c r="Q92" s="39"/>
      <c r="R92" s="14">
        <f>O92*Q92</f>
        <v>0</v>
      </c>
      <c r="S92" s="15">
        <f>P92*Q92</f>
        <v>0</v>
      </c>
      <c r="T92" s="16"/>
      <c r="U92" s="17"/>
      <c r="V92" s="18"/>
      <c r="X92" s="18"/>
    </row>
    <row r="93" spans="5:24" s="8" customFormat="1" ht="39.950000000000003" customHeight="1" x14ac:dyDescent="0.25">
      <c r="E93" s="9">
        <v>57</v>
      </c>
      <c r="F93" s="11" t="s">
        <v>147</v>
      </c>
      <c r="G93" s="19" t="s">
        <v>148</v>
      </c>
      <c r="H93" s="11" t="s">
        <v>20</v>
      </c>
      <c r="I93" s="11"/>
      <c r="J93" s="11"/>
      <c r="K93" s="13">
        <v>8902297122385</v>
      </c>
      <c r="L93" s="37">
        <v>47119</v>
      </c>
      <c r="M93" s="11" t="s">
        <v>58</v>
      </c>
      <c r="N93" s="11"/>
      <c r="O93" s="14">
        <v>1758.2073</v>
      </c>
      <c r="P93" s="15">
        <v>2.0099999999999998</v>
      </c>
      <c r="Q93" s="39"/>
      <c r="R93" s="14">
        <f>O93*Q93</f>
        <v>0</v>
      </c>
      <c r="S93" s="15">
        <f>P93*Q93</f>
        <v>0</v>
      </c>
      <c r="T93" s="16"/>
      <c r="U93" s="17"/>
      <c r="V93" s="18"/>
      <c r="X93" s="18"/>
    </row>
    <row r="94" spans="5:24" s="8" customFormat="1" ht="39.950000000000003" customHeight="1" x14ac:dyDescent="0.25">
      <c r="E94" s="9">
        <v>58</v>
      </c>
      <c r="F94" s="11" t="s">
        <v>149</v>
      </c>
      <c r="G94" s="19" t="s">
        <v>150</v>
      </c>
      <c r="H94" s="11" t="s">
        <v>25</v>
      </c>
      <c r="I94" s="11"/>
      <c r="J94" s="11"/>
      <c r="K94" s="13">
        <v>8902297021817</v>
      </c>
      <c r="L94" s="37">
        <v>46816</v>
      </c>
      <c r="M94" s="11" t="s">
        <v>45</v>
      </c>
      <c r="N94" s="11"/>
      <c r="O94" s="14">
        <v>2221.8141999999998</v>
      </c>
      <c r="P94" s="15">
        <v>2.54</v>
      </c>
      <c r="Q94" s="39"/>
      <c r="R94" s="14">
        <f>O94*Q94</f>
        <v>0</v>
      </c>
      <c r="S94" s="15">
        <f>P94*Q94</f>
        <v>0</v>
      </c>
      <c r="T94" s="16"/>
      <c r="U94" s="17"/>
      <c r="V94" s="18"/>
      <c r="X94" s="18"/>
    </row>
    <row r="95" spans="5:24" s="8" customFormat="1" ht="39.950000000000003" customHeight="1" x14ac:dyDescent="0.25">
      <c r="E95" s="9">
        <v>59</v>
      </c>
      <c r="F95" s="11" t="s">
        <v>151</v>
      </c>
      <c r="G95" s="19" t="s">
        <v>152</v>
      </c>
      <c r="H95" s="11" t="s">
        <v>25</v>
      </c>
      <c r="I95" s="11"/>
      <c r="J95" s="11"/>
      <c r="K95" s="13">
        <v>8902297023910</v>
      </c>
      <c r="L95" s="37">
        <v>46791</v>
      </c>
      <c r="M95" s="11" t="s">
        <v>45</v>
      </c>
      <c r="N95" s="11"/>
      <c r="O95" s="14">
        <v>2186.8249999999998</v>
      </c>
      <c r="P95" s="15">
        <v>2.5</v>
      </c>
      <c r="Q95" s="39"/>
      <c r="R95" s="14">
        <f>O95*Q95</f>
        <v>0</v>
      </c>
      <c r="S95" s="15">
        <f>P95*Q95</f>
        <v>0</v>
      </c>
      <c r="T95" s="16"/>
      <c r="U95" s="17"/>
      <c r="V95" s="18"/>
      <c r="X95" s="18"/>
    </row>
    <row r="96" spans="5:24" s="8" customFormat="1" ht="39.950000000000003" customHeight="1" x14ac:dyDescent="0.25">
      <c r="E96" s="9">
        <v>60</v>
      </c>
      <c r="F96" s="11" t="s">
        <v>153</v>
      </c>
      <c r="G96" s="19" t="s">
        <v>154</v>
      </c>
      <c r="H96" s="11" t="s">
        <v>25</v>
      </c>
      <c r="I96" s="11"/>
      <c r="J96" s="11"/>
      <c r="K96" s="13">
        <v>6936292194087</v>
      </c>
      <c r="L96" s="37">
        <v>47029</v>
      </c>
      <c r="M96" s="11" t="s">
        <v>45</v>
      </c>
      <c r="N96" s="11">
        <v>1000</v>
      </c>
      <c r="O96" s="14">
        <v>2099.3519999999999</v>
      </c>
      <c r="P96" s="15">
        <v>2.4</v>
      </c>
      <c r="Q96" s="39"/>
      <c r="R96" s="14">
        <f>O96*Q96</f>
        <v>0</v>
      </c>
      <c r="S96" s="15">
        <f>P96*Q96</f>
        <v>0</v>
      </c>
      <c r="T96" s="16"/>
      <c r="U96" s="17"/>
      <c r="V96" s="18"/>
      <c r="X96" s="18"/>
    </row>
    <row r="97" spans="5:24" s="8" customFormat="1" ht="39.950000000000003" customHeight="1" x14ac:dyDescent="0.25">
      <c r="E97" s="9">
        <v>61</v>
      </c>
      <c r="F97" s="11" t="s">
        <v>155</v>
      </c>
      <c r="G97" s="19" t="s">
        <v>156</v>
      </c>
      <c r="H97" s="11" t="s">
        <v>20</v>
      </c>
      <c r="I97" s="11"/>
      <c r="J97" s="11"/>
      <c r="K97" s="13">
        <v>6936292192861</v>
      </c>
      <c r="L97" s="37">
        <v>47239</v>
      </c>
      <c r="M97" s="11" t="s">
        <v>45</v>
      </c>
      <c r="N97" s="11">
        <v>216</v>
      </c>
      <c r="O97" s="14">
        <v>1058.4232999999999</v>
      </c>
      <c r="P97" s="15">
        <v>1.21</v>
      </c>
      <c r="Q97" s="39"/>
      <c r="R97" s="14">
        <f>O97*Q97</f>
        <v>0</v>
      </c>
      <c r="S97" s="15">
        <f>P97*Q97</f>
        <v>0</v>
      </c>
      <c r="T97" s="16"/>
      <c r="U97" s="17"/>
      <c r="V97" s="18"/>
      <c r="X97" s="18"/>
    </row>
    <row r="98" spans="5:24" s="8" customFormat="1" ht="39.950000000000003" customHeight="1" x14ac:dyDescent="0.25">
      <c r="E98" s="9">
        <v>62</v>
      </c>
      <c r="F98" s="11" t="s">
        <v>157</v>
      </c>
      <c r="G98" s="19" t="s">
        <v>158</v>
      </c>
      <c r="H98" s="11" t="s">
        <v>25</v>
      </c>
      <c r="I98" s="11"/>
      <c r="J98" s="11"/>
      <c r="K98" s="13">
        <v>6936292193042</v>
      </c>
      <c r="L98" s="37">
        <v>47004</v>
      </c>
      <c r="M98" s="11" t="s">
        <v>45</v>
      </c>
      <c r="N98" s="11">
        <v>1000</v>
      </c>
      <c r="O98" s="14">
        <v>918.4665</v>
      </c>
      <c r="P98" s="15">
        <v>1.05</v>
      </c>
      <c r="Q98" s="39"/>
      <c r="R98" s="14">
        <f>O98*Q98</f>
        <v>0</v>
      </c>
      <c r="S98" s="15">
        <f>P98*Q98</f>
        <v>0</v>
      </c>
      <c r="T98" s="16"/>
      <c r="U98" s="17"/>
      <c r="V98" s="18"/>
      <c r="X98" s="18"/>
    </row>
    <row r="99" spans="5:24" s="8" customFormat="1" ht="39.950000000000003" customHeight="1" x14ac:dyDescent="0.25">
      <c r="E99" s="9">
        <v>63</v>
      </c>
      <c r="F99" s="11" t="s">
        <v>159</v>
      </c>
      <c r="G99" s="19" t="s">
        <v>160</v>
      </c>
      <c r="H99" s="11" t="s">
        <v>25</v>
      </c>
      <c r="I99" s="11"/>
      <c r="J99" s="11"/>
      <c r="K99" s="13">
        <v>8909440002754</v>
      </c>
      <c r="L99" s="37">
        <v>47150</v>
      </c>
      <c r="M99" s="11" t="s">
        <v>21</v>
      </c>
      <c r="N99" s="11"/>
      <c r="O99" s="14">
        <v>1915.6587</v>
      </c>
      <c r="P99" s="15">
        <v>2.19</v>
      </c>
      <c r="Q99" s="39"/>
      <c r="R99" s="14">
        <f>O99*Q99</f>
        <v>0</v>
      </c>
      <c r="S99" s="15">
        <f>P99*Q99</f>
        <v>0</v>
      </c>
      <c r="T99" s="16"/>
      <c r="U99" s="17"/>
      <c r="V99" s="18"/>
      <c r="X99" s="18"/>
    </row>
    <row r="100" spans="5:24" s="8" customFormat="1" ht="39.950000000000003" customHeight="1" x14ac:dyDescent="0.25">
      <c r="E100" s="9">
        <v>64</v>
      </c>
      <c r="F100" s="11" t="s">
        <v>161</v>
      </c>
      <c r="G100" s="19" t="s">
        <v>162</v>
      </c>
      <c r="H100" s="11" t="s">
        <v>25</v>
      </c>
      <c r="I100" s="11"/>
      <c r="J100" s="11"/>
      <c r="K100" s="13">
        <v>8909440000200</v>
      </c>
      <c r="L100" s="37">
        <v>47061</v>
      </c>
      <c r="M100" s="11" t="s">
        <v>116</v>
      </c>
      <c r="N100" s="11">
        <v>1000</v>
      </c>
      <c r="O100" s="14">
        <v>297.40820000000002</v>
      </c>
      <c r="P100" s="15">
        <v>0.34</v>
      </c>
      <c r="Q100" s="39"/>
      <c r="R100" s="14">
        <f>O100*Q100</f>
        <v>0</v>
      </c>
      <c r="S100" s="15">
        <f>P100*Q100</f>
        <v>0</v>
      </c>
      <c r="T100" s="16"/>
      <c r="U100" s="17"/>
      <c r="V100" s="18"/>
      <c r="X100" s="18"/>
    </row>
    <row r="101" spans="5:24" s="8" customFormat="1" ht="39.950000000000003" customHeight="1" x14ac:dyDescent="0.25">
      <c r="E101" s="9">
        <v>65</v>
      </c>
      <c r="F101" s="11" t="s">
        <v>163</v>
      </c>
      <c r="G101" s="19" t="s">
        <v>164</v>
      </c>
      <c r="H101" s="11" t="s">
        <v>20</v>
      </c>
      <c r="I101" s="11"/>
      <c r="J101" s="11"/>
      <c r="K101" s="13">
        <v>8908020242597</v>
      </c>
      <c r="L101" s="38">
        <v>46357</v>
      </c>
      <c r="M101" s="11" t="s">
        <v>42</v>
      </c>
      <c r="N101" s="11">
        <v>256</v>
      </c>
      <c r="O101" s="14">
        <v>236.1771</v>
      </c>
      <c r="P101" s="15">
        <v>0.27</v>
      </c>
      <c r="Q101" s="39"/>
      <c r="R101" s="14">
        <f>O101*Q101</f>
        <v>0</v>
      </c>
      <c r="S101" s="15">
        <f>P101*Q101</f>
        <v>0</v>
      </c>
      <c r="T101" s="16"/>
      <c r="U101" s="17"/>
      <c r="V101" s="18"/>
      <c r="X101" s="18"/>
    </row>
    <row r="102" spans="5:24" s="8" customFormat="1" ht="39.950000000000003" customHeight="1" x14ac:dyDescent="0.25">
      <c r="E102" s="9">
        <v>67</v>
      </c>
      <c r="F102" s="11" t="s">
        <v>168</v>
      </c>
      <c r="G102" s="19" t="s">
        <v>169</v>
      </c>
      <c r="H102" s="11" t="s">
        <v>25</v>
      </c>
      <c r="I102" s="11"/>
      <c r="J102" s="11"/>
      <c r="K102" s="13">
        <v>8906044710795</v>
      </c>
      <c r="L102" s="37">
        <v>47209</v>
      </c>
      <c r="M102" s="11" t="s">
        <v>45</v>
      </c>
      <c r="N102" s="11"/>
      <c r="O102" s="14">
        <v>874.73</v>
      </c>
      <c r="P102" s="15">
        <v>1</v>
      </c>
      <c r="Q102" s="39"/>
      <c r="R102" s="14">
        <f>O102*Q102</f>
        <v>0</v>
      </c>
      <c r="S102" s="15">
        <f>P102*Q102</f>
        <v>0</v>
      </c>
      <c r="T102" s="16"/>
      <c r="U102" s="17"/>
      <c r="V102" s="18"/>
      <c r="X102" s="18"/>
    </row>
    <row r="103" spans="5:24" s="8" customFormat="1" ht="39.950000000000003" customHeight="1" x14ac:dyDescent="0.25">
      <c r="E103" s="9">
        <v>68</v>
      </c>
      <c r="F103" s="11" t="s">
        <v>170</v>
      </c>
      <c r="G103" s="19" t="s">
        <v>171</v>
      </c>
      <c r="H103" s="11" t="s">
        <v>25</v>
      </c>
      <c r="I103" s="11"/>
      <c r="J103" s="11"/>
      <c r="K103" s="13">
        <v>6916119062041</v>
      </c>
      <c r="L103" s="37">
        <v>46920</v>
      </c>
      <c r="M103" s="11" t="s">
        <v>45</v>
      </c>
      <c r="N103" s="11">
        <v>1000</v>
      </c>
      <c r="O103" s="14">
        <v>787.25699999999995</v>
      </c>
      <c r="P103" s="15">
        <v>0.9</v>
      </c>
      <c r="Q103" s="39"/>
      <c r="R103" s="14">
        <f>O103*Q103</f>
        <v>0</v>
      </c>
      <c r="S103" s="15">
        <f>P103*Q103</f>
        <v>0</v>
      </c>
      <c r="T103" s="16"/>
      <c r="U103" s="17"/>
      <c r="V103" s="18"/>
      <c r="X103" s="18"/>
    </row>
    <row r="104" spans="5:24" s="8" customFormat="1" ht="39.950000000000003" customHeight="1" x14ac:dyDescent="0.25">
      <c r="E104" s="9">
        <v>70</v>
      </c>
      <c r="F104" s="11" t="s">
        <v>174</v>
      </c>
      <c r="G104" s="19" t="s">
        <v>175</v>
      </c>
      <c r="H104" s="11" t="s">
        <v>20</v>
      </c>
      <c r="I104" s="11"/>
      <c r="J104" s="11"/>
      <c r="K104" s="13">
        <v>8902297027079</v>
      </c>
      <c r="L104" s="37">
        <v>46935</v>
      </c>
      <c r="M104" s="11" t="s">
        <v>45</v>
      </c>
      <c r="N104" s="11">
        <v>450</v>
      </c>
      <c r="O104" s="14">
        <v>3630.1295</v>
      </c>
      <c r="P104" s="15">
        <v>4.1500000000000004</v>
      </c>
      <c r="Q104" s="39"/>
      <c r="R104" s="14">
        <f>O104*Q104</f>
        <v>0</v>
      </c>
      <c r="S104" s="15">
        <f>P104*Q104</f>
        <v>0</v>
      </c>
      <c r="T104" s="16"/>
      <c r="U104" s="17"/>
      <c r="V104" s="18"/>
      <c r="X104" s="18"/>
    </row>
    <row r="105" spans="5:24" s="8" customFormat="1" ht="39.950000000000003" customHeight="1" x14ac:dyDescent="0.25">
      <c r="E105" s="9">
        <v>71</v>
      </c>
      <c r="F105" s="11" t="s">
        <v>176</v>
      </c>
      <c r="G105" s="19" t="s">
        <v>177</v>
      </c>
      <c r="H105" s="11" t="s">
        <v>32</v>
      </c>
      <c r="I105" s="11"/>
      <c r="J105" s="11"/>
      <c r="K105" s="13">
        <v>6925881203590</v>
      </c>
      <c r="L105" s="37">
        <v>47209</v>
      </c>
      <c r="M105" s="11" t="s">
        <v>45</v>
      </c>
      <c r="N105" s="11">
        <v>1000</v>
      </c>
      <c r="O105" s="14">
        <v>2519.2224000000001</v>
      </c>
      <c r="P105" s="15">
        <v>2.88</v>
      </c>
      <c r="Q105" s="39"/>
      <c r="R105" s="14">
        <f>O105*Q105</f>
        <v>0</v>
      </c>
      <c r="S105" s="15">
        <f>P105*Q105</f>
        <v>0</v>
      </c>
      <c r="T105" s="16"/>
      <c r="U105" s="17"/>
      <c r="V105" s="18"/>
      <c r="X105" s="18"/>
    </row>
    <row r="106" spans="5:24" s="8" customFormat="1" ht="39.950000000000003" customHeight="1" x14ac:dyDescent="0.25">
      <c r="E106" s="9">
        <v>72</v>
      </c>
      <c r="F106" s="11" t="s">
        <v>178</v>
      </c>
      <c r="G106" s="19" t="s">
        <v>179</v>
      </c>
      <c r="H106" s="11" t="s">
        <v>25</v>
      </c>
      <c r="I106" s="11"/>
      <c r="J106" s="11"/>
      <c r="K106" s="13">
        <v>6925881203552</v>
      </c>
      <c r="L106" s="37">
        <v>46813</v>
      </c>
      <c r="M106" s="11" t="s">
        <v>180</v>
      </c>
      <c r="N106" s="11"/>
      <c r="O106" s="14">
        <v>1504.5355999999999</v>
      </c>
      <c r="P106" s="15">
        <v>1.72</v>
      </c>
      <c r="Q106" s="39"/>
      <c r="R106" s="14">
        <f>O106*Q106</f>
        <v>0</v>
      </c>
      <c r="S106" s="15">
        <f>P106*Q106</f>
        <v>0</v>
      </c>
      <c r="T106" s="16"/>
      <c r="U106" s="17"/>
      <c r="V106" s="18"/>
      <c r="X106" s="18"/>
    </row>
    <row r="107" spans="5:24" s="8" customFormat="1" ht="39.950000000000003" customHeight="1" x14ac:dyDescent="0.25">
      <c r="E107" s="9">
        <v>74</v>
      </c>
      <c r="F107" s="11" t="s">
        <v>183</v>
      </c>
      <c r="G107" s="19" t="s">
        <v>184</v>
      </c>
      <c r="H107" s="11" t="s">
        <v>25</v>
      </c>
      <c r="I107" s="11"/>
      <c r="J107" s="11"/>
      <c r="K107" s="13">
        <v>8909440000941</v>
      </c>
      <c r="L107" s="37">
        <v>46785</v>
      </c>
      <c r="M107" s="11" t="s">
        <v>58</v>
      </c>
      <c r="N107" s="11">
        <v>2500</v>
      </c>
      <c r="O107" s="14">
        <v>603.56370000000004</v>
      </c>
      <c r="P107" s="15">
        <v>0.69</v>
      </c>
      <c r="Q107" s="39"/>
      <c r="R107" s="14">
        <f>O107*Q107</f>
        <v>0</v>
      </c>
      <c r="S107" s="15">
        <f>P107*Q107</f>
        <v>0</v>
      </c>
      <c r="T107" s="16"/>
      <c r="U107" s="17"/>
      <c r="V107" s="18"/>
      <c r="X107" s="18"/>
    </row>
    <row r="108" spans="5:24" s="8" customFormat="1" ht="39.950000000000003" customHeight="1" x14ac:dyDescent="0.25">
      <c r="E108" s="9">
        <v>75</v>
      </c>
      <c r="F108" s="11" t="s">
        <v>185</v>
      </c>
      <c r="G108" s="19" t="s">
        <v>186</v>
      </c>
      <c r="H108" s="11" t="s">
        <v>32</v>
      </c>
      <c r="I108" s="11"/>
      <c r="J108" s="11"/>
      <c r="K108" s="13">
        <v>8901872009097</v>
      </c>
      <c r="L108" s="37">
        <v>47150</v>
      </c>
      <c r="M108" s="11" t="s">
        <v>187</v>
      </c>
      <c r="N108" s="11"/>
      <c r="O108" s="14">
        <v>376.13389999999998</v>
      </c>
      <c r="P108" s="15">
        <v>0.43</v>
      </c>
      <c r="Q108" s="39"/>
      <c r="R108" s="14">
        <f>O108*Q108</f>
        <v>0</v>
      </c>
      <c r="S108" s="15">
        <f>P108*Q108</f>
        <v>0</v>
      </c>
      <c r="T108" s="16"/>
      <c r="U108" s="17"/>
      <c r="V108" s="18"/>
      <c r="X108" s="18"/>
    </row>
    <row r="109" spans="5:24" s="8" customFormat="1" ht="39.950000000000003" customHeight="1" x14ac:dyDescent="0.25">
      <c r="E109" s="9">
        <v>76</v>
      </c>
      <c r="F109" s="11" t="s">
        <v>188</v>
      </c>
      <c r="G109" s="19" t="s">
        <v>189</v>
      </c>
      <c r="H109" s="11" t="s">
        <v>25</v>
      </c>
      <c r="I109" s="11"/>
      <c r="J109" s="11"/>
      <c r="K109" s="13">
        <v>8901872009141</v>
      </c>
      <c r="L109" s="37">
        <v>47151</v>
      </c>
      <c r="M109" s="11" t="s">
        <v>190</v>
      </c>
      <c r="N109" s="11"/>
      <c r="O109" s="14">
        <v>1189.6328000000001</v>
      </c>
      <c r="P109" s="15">
        <v>1.36</v>
      </c>
      <c r="Q109" s="39"/>
      <c r="R109" s="14">
        <f>O109*Q109</f>
        <v>0</v>
      </c>
      <c r="S109" s="15">
        <f>P109*Q109</f>
        <v>0</v>
      </c>
      <c r="T109" s="16"/>
      <c r="U109" s="17"/>
      <c r="V109" s="18"/>
      <c r="X109" s="18"/>
    </row>
    <row r="110" spans="5:24" s="8" customFormat="1" ht="39.950000000000003" customHeight="1" x14ac:dyDescent="0.25">
      <c r="E110" s="9">
        <v>77</v>
      </c>
      <c r="F110" s="11" t="s">
        <v>191</v>
      </c>
      <c r="G110" s="19" t="s">
        <v>192</v>
      </c>
      <c r="H110" s="11" t="s">
        <v>20</v>
      </c>
      <c r="I110" s="11"/>
      <c r="J110" s="11"/>
      <c r="K110" s="13">
        <v>8906188190354</v>
      </c>
      <c r="L110" s="37">
        <v>46755</v>
      </c>
      <c r="M110" s="11" t="s">
        <v>58</v>
      </c>
      <c r="N110" s="11">
        <v>200</v>
      </c>
      <c r="O110" s="14">
        <v>1740.7127</v>
      </c>
      <c r="P110" s="15">
        <v>1.99</v>
      </c>
      <c r="Q110" s="39"/>
      <c r="R110" s="14">
        <f>O110*Q110</f>
        <v>0</v>
      </c>
      <c r="S110" s="15">
        <f>P110*Q110</f>
        <v>0</v>
      </c>
      <c r="T110" s="16"/>
      <c r="U110" s="17"/>
      <c r="V110" s="18"/>
      <c r="X110" s="18"/>
    </row>
    <row r="111" spans="5:24" s="8" customFormat="1" ht="39.950000000000003" customHeight="1" x14ac:dyDescent="0.25">
      <c r="E111" s="9">
        <v>78</v>
      </c>
      <c r="F111" s="11" t="s">
        <v>193</v>
      </c>
      <c r="G111" s="19" t="s">
        <v>194</v>
      </c>
      <c r="H111" s="11" t="s">
        <v>20</v>
      </c>
      <c r="I111" s="11"/>
      <c r="J111" s="11"/>
      <c r="K111" s="13">
        <v>8906188190415</v>
      </c>
      <c r="L111" s="37">
        <v>46724</v>
      </c>
      <c r="M111" s="11" t="s">
        <v>65</v>
      </c>
      <c r="N111" s="11">
        <v>100</v>
      </c>
      <c r="O111" s="14">
        <v>1180.8855000000001</v>
      </c>
      <c r="P111" s="15">
        <v>1.35</v>
      </c>
      <c r="Q111" s="39"/>
      <c r="R111" s="14">
        <f>O111*Q111</f>
        <v>0</v>
      </c>
      <c r="S111" s="15">
        <f>P111*Q111</f>
        <v>0</v>
      </c>
      <c r="T111" s="16"/>
      <c r="U111" s="17"/>
      <c r="V111" s="18"/>
      <c r="X111" s="18"/>
    </row>
    <row r="112" spans="5:24" s="8" customFormat="1" ht="39.950000000000003" customHeight="1" x14ac:dyDescent="0.25">
      <c r="E112" s="9">
        <v>82</v>
      </c>
      <c r="F112" s="11" t="s">
        <v>201</v>
      </c>
      <c r="G112" s="19" t="s">
        <v>202</v>
      </c>
      <c r="H112" s="11" t="s">
        <v>25</v>
      </c>
      <c r="I112" s="11"/>
      <c r="J112" s="11"/>
      <c r="K112" s="13">
        <v>8902297007361</v>
      </c>
      <c r="L112" s="37">
        <v>46935</v>
      </c>
      <c r="M112" s="11" t="s">
        <v>116</v>
      </c>
      <c r="N112" s="11">
        <v>1000</v>
      </c>
      <c r="O112" s="14">
        <v>489.84879999999998</v>
      </c>
      <c r="P112" s="15">
        <v>0.56000000000000005</v>
      </c>
      <c r="Q112" s="39"/>
      <c r="R112" s="14">
        <f>O112*Q112</f>
        <v>0</v>
      </c>
      <c r="S112" s="15">
        <f>P112*Q112</f>
        <v>0</v>
      </c>
      <c r="T112" s="16"/>
      <c r="U112" s="17"/>
      <c r="V112" s="18"/>
      <c r="X112" s="18"/>
    </row>
    <row r="113" spans="5:24" s="8" customFormat="1" ht="39.950000000000003" customHeight="1" x14ac:dyDescent="0.25">
      <c r="E113" s="9">
        <v>83</v>
      </c>
      <c r="F113" s="11" t="s">
        <v>203</v>
      </c>
      <c r="G113" s="19" t="s">
        <v>204</v>
      </c>
      <c r="H113" s="11" t="s">
        <v>20</v>
      </c>
      <c r="I113" s="11"/>
      <c r="J113" s="11"/>
      <c r="K113" s="13">
        <v>8902297007361</v>
      </c>
      <c r="L113" s="37">
        <v>46508</v>
      </c>
      <c r="M113" s="11" t="s">
        <v>116</v>
      </c>
      <c r="N113" s="11">
        <v>500</v>
      </c>
      <c r="O113" s="14">
        <v>1250.8639000000001</v>
      </c>
      <c r="P113" s="15">
        <v>1.43</v>
      </c>
      <c r="Q113" s="39"/>
      <c r="R113" s="14">
        <f>O113*Q113</f>
        <v>0</v>
      </c>
      <c r="S113" s="15">
        <f>P113*Q113</f>
        <v>0</v>
      </c>
      <c r="T113" s="16"/>
      <c r="U113" s="17"/>
      <c r="V113" s="18"/>
      <c r="X113" s="18"/>
    </row>
    <row r="114" spans="5:24" s="8" customFormat="1" ht="39.950000000000003" customHeight="1" x14ac:dyDescent="0.25">
      <c r="E114" s="9">
        <v>84</v>
      </c>
      <c r="F114" s="11" t="s">
        <v>205</v>
      </c>
      <c r="G114" s="19" t="s">
        <v>206</v>
      </c>
      <c r="H114" s="11" t="s">
        <v>25</v>
      </c>
      <c r="I114" s="11"/>
      <c r="J114" s="11"/>
      <c r="K114" s="13">
        <v>6916119062225</v>
      </c>
      <c r="L114" s="37">
        <v>46971</v>
      </c>
      <c r="M114" s="11" t="s">
        <v>116</v>
      </c>
      <c r="N114" s="11">
        <v>2000</v>
      </c>
      <c r="O114" s="14">
        <v>192.44059999999999</v>
      </c>
      <c r="P114" s="15">
        <v>0.22</v>
      </c>
      <c r="Q114" s="39"/>
      <c r="R114" s="14">
        <f>O114*Q114</f>
        <v>0</v>
      </c>
      <c r="S114" s="15">
        <f>P114*Q114</f>
        <v>0</v>
      </c>
      <c r="T114" s="16"/>
      <c r="U114" s="17"/>
      <c r="V114" s="18"/>
      <c r="X114" s="18"/>
    </row>
    <row r="115" spans="5:24" s="8" customFormat="1" ht="39.950000000000003" customHeight="1" x14ac:dyDescent="0.25">
      <c r="E115" s="9">
        <v>85</v>
      </c>
      <c r="F115" s="11" t="s">
        <v>207</v>
      </c>
      <c r="G115" s="19" t="s">
        <v>208</v>
      </c>
      <c r="H115" s="11" t="s">
        <v>25</v>
      </c>
      <c r="I115" s="11"/>
      <c r="J115" s="11"/>
      <c r="K115" s="13">
        <v>6916119062089</v>
      </c>
      <c r="L115" s="37">
        <v>46918</v>
      </c>
      <c r="M115" s="11" t="s">
        <v>209</v>
      </c>
      <c r="N115" s="11">
        <v>2000</v>
      </c>
      <c r="O115" s="14">
        <v>236.1771</v>
      </c>
      <c r="P115" s="15">
        <v>0.27</v>
      </c>
      <c r="Q115" s="39"/>
      <c r="R115" s="14">
        <f>O115*Q115</f>
        <v>0</v>
      </c>
      <c r="S115" s="15">
        <f>P115*Q115</f>
        <v>0</v>
      </c>
      <c r="T115" s="16"/>
      <c r="U115" s="17"/>
      <c r="V115" s="18"/>
      <c r="X115" s="18"/>
    </row>
    <row r="116" spans="5:24" s="8" customFormat="1" ht="39.950000000000003" customHeight="1" x14ac:dyDescent="0.25">
      <c r="E116" s="9">
        <v>86</v>
      </c>
      <c r="F116" s="11" t="s">
        <v>210</v>
      </c>
      <c r="G116" s="19" t="s">
        <v>211</v>
      </c>
      <c r="H116" s="11" t="s">
        <v>25</v>
      </c>
      <c r="I116" s="11"/>
      <c r="J116" s="11"/>
      <c r="K116" s="13">
        <v>8902297028212</v>
      </c>
      <c r="L116" s="37">
        <v>47031</v>
      </c>
      <c r="M116" s="11" t="s">
        <v>21</v>
      </c>
      <c r="N116" s="11">
        <v>1600</v>
      </c>
      <c r="O116" s="14">
        <v>830.99350000000004</v>
      </c>
      <c r="P116" s="15">
        <v>0.95</v>
      </c>
      <c r="Q116" s="39"/>
      <c r="R116" s="14">
        <f>O116*Q116</f>
        <v>0</v>
      </c>
      <c r="S116" s="15">
        <f>P116*Q116</f>
        <v>0</v>
      </c>
      <c r="T116" s="16"/>
      <c r="U116" s="17"/>
      <c r="V116" s="18"/>
      <c r="X116" s="18"/>
    </row>
    <row r="117" spans="5:24" s="8" customFormat="1" ht="39.950000000000003" customHeight="1" x14ac:dyDescent="0.25">
      <c r="E117" s="9">
        <v>87</v>
      </c>
      <c r="F117" s="11" t="s">
        <v>212</v>
      </c>
      <c r="G117" s="19" t="s">
        <v>213</v>
      </c>
      <c r="H117" s="11" t="s">
        <v>32</v>
      </c>
      <c r="I117" s="11"/>
      <c r="J117" s="11"/>
      <c r="K117" s="13">
        <v>8906005117830</v>
      </c>
      <c r="L117" s="37">
        <v>46813</v>
      </c>
      <c r="M117" s="11" t="s">
        <v>21</v>
      </c>
      <c r="N117" s="11">
        <v>1680</v>
      </c>
      <c r="O117" s="14">
        <v>306.15550000000002</v>
      </c>
      <c r="P117" s="15">
        <v>0.35</v>
      </c>
      <c r="Q117" s="39"/>
      <c r="R117" s="14">
        <f>O117*Q117</f>
        <v>0</v>
      </c>
      <c r="S117" s="15">
        <f>P117*Q117</f>
        <v>0</v>
      </c>
      <c r="T117" s="16"/>
      <c r="U117" s="17"/>
      <c r="V117" s="18"/>
      <c r="X117" s="18"/>
    </row>
    <row r="118" spans="5:24" s="8" customFormat="1" ht="39.950000000000003" customHeight="1" x14ac:dyDescent="0.25">
      <c r="E118" s="9">
        <v>88</v>
      </c>
      <c r="F118" s="11" t="s">
        <v>214</v>
      </c>
      <c r="G118" s="19" t="s">
        <v>215</v>
      </c>
      <c r="H118" s="11" t="s">
        <v>20</v>
      </c>
      <c r="I118" s="11"/>
      <c r="J118" s="11"/>
      <c r="K118" s="13">
        <v>8909440000712</v>
      </c>
      <c r="L118" s="37">
        <v>46998</v>
      </c>
      <c r="M118" s="11" t="s">
        <v>58</v>
      </c>
      <c r="N118" s="11">
        <v>2500</v>
      </c>
      <c r="O118" s="14">
        <v>927.21379999999999</v>
      </c>
      <c r="P118" s="15">
        <v>1.06</v>
      </c>
      <c r="Q118" s="39"/>
      <c r="R118" s="14">
        <f>O118*Q118</f>
        <v>0</v>
      </c>
      <c r="S118" s="15">
        <f>P118*Q118</f>
        <v>0</v>
      </c>
      <c r="T118" s="16"/>
      <c r="U118" s="17"/>
      <c r="V118" s="18"/>
      <c r="X118" s="18"/>
    </row>
    <row r="119" spans="5:24" s="8" customFormat="1" ht="39.950000000000003" customHeight="1" x14ac:dyDescent="0.25">
      <c r="E119" s="9">
        <v>89</v>
      </c>
      <c r="F119" s="11" t="s">
        <v>216</v>
      </c>
      <c r="G119" s="19" t="s">
        <v>217</v>
      </c>
      <c r="H119" s="11" t="s">
        <v>25</v>
      </c>
      <c r="I119" s="11"/>
      <c r="J119" s="11"/>
      <c r="K119" s="13">
        <v>6916119062218</v>
      </c>
      <c r="L119" s="37">
        <v>47182</v>
      </c>
      <c r="M119" s="11" t="s">
        <v>21</v>
      </c>
      <c r="N119" s="11"/>
      <c r="O119" s="14">
        <v>306.15550000000002</v>
      </c>
      <c r="P119" s="15">
        <v>0.35</v>
      </c>
      <c r="Q119" s="39"/>
      <c r="R119" s="14">
        <f>O119*Q119</f>
        <v>0</v>
      </c>
      <c r="S119" s="15">
        <f>P119*Q119</f>
        <v>0</v>
      </c>
      <c r="T119" s="16"/>
      <c r="U119" s="17"/>
      <c r="V119" s="18"/>
      <c r="X119" s="18"/>
    </row>
    <row r="120" spans="5:24" s="8" customFormat="1" ht="39.950000000000003" customHeight="1" x14ac:dyDescent="0.25">
      <c r="E120" s="9">
        <v>90</v>
      </c>
      <c r="F120" s="11" t="s">
        <v>218</v>
      </c>
      <c r="G120" s="19" t="s">
        <v>219</v>
      </c>
      <c r="H120" s="11" t="s">
        <v>32</v>
      </c>
      <c r="I120" s="11"/>
      <c r="J120" s="11"/>
      <c r="K120" s="13">
        <v>8909440000422</v>
      </c>
      <c r="L120" s="37">
        <v>46970</v>
      </c>
      <c r="M120" s="11" t="s">
        <v>55</v>
      </c>
      <c r="N120" s="11">
        <v>2500</v>
      </c>
      <c r="O120" s="14">
        <v>446.1123</v>
      </c>
      <c r="P120" s="15">
        <v>0.51</v>
      </c>
      <c r="Q120" s="39"/>
      <c r="R120" s="14">
        <f>O120*Q120</f>
        <v>0</v>
      </c>
      <c r="S120" s="15">
        <f>P120*Q120</f>
        <v>0</v>
      </c>
      <c r="T120" s="16"/>
      <c r="U120" s="17"/>
      <c r="V120" s="18"/>
      <c r="X120" s="18"/>
    </row>
    <row r="121" spans="5:24" s="8" customFormat="1" ht="39.950000000000003" customHeight="1" x14ac:dyDescent="0.25">
      <c r="E121" s="9">
        <v>91</v>
      </c>
      <c r="F121" s="11" t="s">
        <v>220</v>
      </c>
      <c r="G121" s="19" t="s">
        <v>221</v>
      </c>
      <c r="H121" s="11" t="s">
        <v>25</v>
      </c>
      <c r="I121" s="11"/>
      <c r="J121" s="11"/>
      <c r="K121" s="13">
        <v>8901872008823</v>
      </c>
      <c r="L121" s="37">
        <v>47029</v>
      </c>
      <c r="M121" s="11" t="s">
        <v>45</v>
      </c>
      <c r="N121" s="11">
        <v>704</v>
      </c>
      <c r="O121" s="14">
        <v>1565.7666999999999</v>
      </c>
      <c r="P121" s="15">
        <v>1.79</v>
      </c>
      <c r="Q121" s="39"/>
      <c r="R121" s="14">
        <f>O121*Q121</f>
        <v>0</v>
      </c>
      <c r="S121" s="15">
        <f>P121*Q121</f>
        <v>0</v>
      </c>
      <c r="T121" s="16"/>
      <c r="U121" s="17"/>
      <c r="V121" s="18"/>
      <c r="X121" s="18"/>
    </row>
    <row r="122" spans="5:24" s="8" customFormat="1" ht="39.950000000000003" customHeight="1" x14ac:dyDescent="0.25">
      <c r="E122" s="9">
        <v>92</v>
      </c>
      <c r="F122" s="11" t="s">
        <v>222</v>
      </c>
      <c r="G122" s="19" t="s">
        <v>223</v>
      </c>
      <c r="H122" s="11" t="s">
        <v>20</v>
      </c>
      <c r="I122" s="11"/>
      <c r="J122" s="11"/>
      <c r="K122" s="13">
        <v>8908020242641</v>
      </c>
      <c r="L122" s="37">
        <v>47058</v>
      </c>
      <c r="M122" s="11" t="s">
        <v>224</v>
      </c>
      <c r="N122" s="11"/>
      <c r="O122" s="14">
        <v>6770.4102000000003</v>
      </c>
      <c r="P122" s="15">
        <v>7.74</v>
      </c>
      <c r="Q122" s="39"/>
      <c r="R122" s="14">
        <f>O122*Q122</f>
        <v>0</v>
      </c>
      <c r="S122" s="15">
        <f>P122*Q122</f>
        <v>0</v>
      </c>
      <c r="T122" s="16"/>
      <c r="U122" s="17"/>
      <c r="V122" s="18"/>
      <c r="X122" s="18"/>
    </row>
    <row r="123" spans="5:24" s="8" customFormat="1" ht="39.950000000000003" customHeight="1" x14ac:dyDescent="0.25">
      <c r="E123" s="9">
        <v>93</v>
      </c>
      <c r="F123" s="11" t="s">
        <v>225</v>
      </c>
      <c r="G123" s="19" t="s">
        <v>226</v>
      </c>
      <c r="H123" s="11" t="s">
        <v>20</v>
      </c>
      <c r="I123" s="11"/>
      <c r="J123" s="11"/>
      <c r="K123" s="13">
        <v>8909440001047</v>
      </c>
      <c r="L123" s="37">
        <v>46997</v>
      </c>
      <c r="M123" s="11" t="s">
        <v>58</v>
      </c>
      <c r="N123" s="11">
        <v>216</v>
      </c>
      <c r="O123" s="14">
        <v>306.15550000000002</v>
      </c>
      <c r="P123" s="15">
        <v>0.35</v>
      </c>
      <c r="Q123" s="39"/>
      <c r="R123" s="14">
        <f>O123*Q123</f>
        <v>0</v>
      </c>
      <c r="S123" s="15">
        <f>P123*Q123</f>
        <v>0</v>
      </c>
      <c r="T123" s="16"/>
      <c r="U123" s="17"/>
      <c r="V123" s="18"/>
      <c r="X123" s="18"/>
    </row>
    <row r="124" spans="5:24" s="8" customFormat="1" ht="39.950000000000003" customHeight="1" x14ac:dyDescent="0.25">
      <c r="E124" s="9">
        <v>95</v>
      </c>
      <c r="F124" s="11" t="s">
        <v>229</v>
      </c>
      <c r="G124" s="19" t="s">
        <v>230</v>
      </c>
      <c r="H124" s="11" t="s">
        <v>25</v>
      </c>
      <c r="I124" s="11"/>
      <c r="J124" s="11"/>
      <c r="K124" s="13">
        <v>8902297009662</v>
      </c>
      <c r="L124" s="37">
        <v>46875</v>
      </c>
      <c r="M124" s="11" t="s">
        <v>55</v>
      </c>
      <c r="N124" s="11"/>
      <c r="O124" s="14">
        <v>874.73</v>
      </c>
      <c r="P124" s="15">
        <v>1</v>
      </c>
      <c r="Q124" s="39"/>
      <c r="R124" s="14">
        <f>O124*Q124</f>
        <v>0</v>
      </c>
      <c r="S124" s="15">
        <f>P124*Q124</f>
        <v>0</v>
      </c>
      <c r="T124" s="16"/>
      <c r="U124" s="17"/>
      <c r="V124" s="18"/>
      <c r="X124" s="18"/>
    </row>
    <row r="125" spans="5:24" s="8" customFormat="1" ht="39.950000000000003" customHeight="1" x14ac:dyDescent="0.25">
      <c r="E125" s="9">
        <v>96</v>
      </c>
      <c r="F125" s="11" t="s">
        <v>231</v>
      </c>
      <c r="G125" s="19" t="s">
        <v>232</v>
      </c>
      <c r="H125" s="11" t="s">
        <v>32</v>
      </c>
      <c r="I125" s="11"/>
      <c r="J125" s="11"/>
      <c r="K125" s="13">
        <v>8909440000484</v>
      </c>
      <c r="L125" s="37">
        <v>46966</v>
      </c>
      <c r="M125" s="11" t="s">
        <v>58</v>
      </c>
      <c r="N125" s="11">
        <v>2500</v>
      </c>
      <c r="O125" s="14">
        <v>734.77319999999997</v>
      </c>
      <c r="P125" s="15">
        <v>0.84</v>
      </c>
      <c r="Q125" s="39"/>
      <c r="R125" s="14">
        <f>O125*Q125</f>
        <v>0</v>
      </c>
      <c r="S125" s="15">
        <f>P125*Q125</f>
        <v>0</v>
      </c>
      <c r="T125" s="16"/>
      <c r="U125" s="17"/>
      <c r="V125" s="18"/>
      <c r="X125" s="18"/>
    </row>
    <row r="126" spans="5:24" s="8" customFormat="1" ht="39.950000000000003" customHeight="1" x14ac:dyDescent="0.25">
      <c r="E126" s="9">
        <v>97</v>
      </c>
      <c r="F126" s="11" t="s">
        <v>233</v>
      </c>
      <c r="G126" s="19" t="s">
        <v>234</v>
      </c>
      <c r="H126" s="11" t="s">
        <v>20</v>
      </c>
      <c r="I126" s="11"/>
      <c r="J126" s="11"/>
      <c r="K126" s="13">
        <v>8909440000293</v>
      </c>
      <c r="L126" s="37">
        <v>46966</v>
      </c>
      <c r="M126" s="11" t="s">
        <v>58</v>
      </c>
      <c r="N126" s="11">
        <v>500</v>
      </c>
      <c r="O126" s="14">
        <v>2711.663</v>
      </c>
      <c r="P126" s="15">
        <v>3.1</v>
      </c>
      <c r="Q126" s="39"/>
      <c r="R126" s="14">
        <f>O126*Q126</f>
        <v>0</v>
      </c>
      <c r="S126" s="15">
        <f>P126*Q126</f>
        <v>0</v>
      </c>
      <c r="T126" s="16"/>
      <c r="U126" s="17"/>
      <c r="V126" s="18"/>
      <c r="X126" s="18"/>
    </row>
    <row r="127" spans="5:24" s="8" customFormat="1" ht="39.950000000000003" customHeight="1" x14ac:dyDescent="0.25">
      <c r="E127" s="9">
        <v>99</v>
      </c>
      <c r="F127" s="11" t="s">
        <v>237</v>
      </c>
      <c r="G127" s="20" t="s">
        <v>238</v>
      </c>
      <c r="H127" s="11" t="s">
        <v>20</v>
      </c>
      <c r="I127" s="21" t="s">
        <v>68</v>
      </c>
      <c r="J127" s="11"/>
      <c r="K127" s="13">
        <v>8906044710931</v>
      </c>
      <c r="L127" s="38">
        <v>46327</v>
      </c>
      <c r="M127" s="11" t="s">
        <v>55</v>
      </c>
      <c r="N127" s="11">
        <v>3850</v>
      </c>
      <c r="O127" s="14">
        <v>174.946</v>
      </c>
      <c r="P127" s="15">
        <v>0.2</v>
      </c>
      <c r="Q127" s="39"/>
      <c r="R127" s="14">
        <f>O127*Q127</f>
        <v>0</v>
      </c>
      <c r="S127" s="15">
        <f>P127*Q127</f>
        <v>0</v>
      </c>
      <c r="T127" s="16"/>
      <c r="U127" s="17"/>
      <c r="V127" s="18"/>
      <c r="X127" s="18"/>
    </row>
    <row r="128" spans="5:24" s="8" customFormat="1" ht="39.950000000000003" customHeight="1" x14ac:dyDescent="0.25">
      <c r="E128" s="9">
        <v>100</v>
      </c>
      <c r="F128" s="11" t="s">
        <v>239</v>
      </c>
      <c r="G128" s="19" t="s">
        <v>240</v>
      </c>
      <c r="H128" s="11" t="s">
        <v>25</v>
      </c>
      <c r="I128" s="11"/>
      <c r="J128" s="11"/>
      <c r="K128" s="13">
        <v>8902297021909</v>
      </c>
      <c r="L128" s="37">
        <v>46913</v>
      </c>
      <c r="M128" s="11" t="s">
        <v>65</v>
      </c>
      <c r="N128" s="11">
        <v>480</v>
      </c>
      <c r="O128" s="14">
        <v>1312.095</v>
      </c>
      <c r="P128" s="15">
        <v>1.5</v>
      </c>
      <c r="Q128" s="39"/>
      <c r="R128" s="14">
        <f>O128*Q128</f>
        <v>0</v>
      </c>
      <c r="S128" s="15">
        <f>P128*Q128</f>
        <v>0</v>
      </c>
      <c r="T128" s="16"/>
      <c r="U128" s="17"/>
      <c r="V128" s="18"/>
      <c r="X128" s="18"/>
    </row>
    <row r="129" spans="5:24" s="8" customFormat="1" ht="39.950000000000003" customHeight="1" x14ac:dyDescent="0.25">
      <c r="E129" s="9">
        <v>101</v>
      </c>
      <c r="F129" s="11" t="s">
        <v>241</v>
      </c>
      <c r="G129" s="19" t="s">
        <v>242</v>
      </c>
      <c r="H129" s="11" t="s">
        <v>25</v>
      </c>
      <c r="I129" s="11"/>
      <c r="J129" s="11"/>
      <c r="K129" s="13">
        <v>8902297125539</v>
      </c>
      <c r="L129" s="37">
        <v>46997</v>
      </c>
      <c r="M129" s="11" t="s">
        <v>65</v>
      </c>
      <c r="N129" s="11"/>
      <c r="O129" s="14">
        <v>14214.362499999999</v>
      </c>
      <c r="P129" s="15">
        <v>16.25</v>
      </c>
      <c r="Q129" s="39"/>
      <c r="R129" s="14">
        <f>O129*Q129</f>
        <v>0</v>
      </c>
      <c r="S129" s="15">
        <f>P129*Q129</f>
        <v>0</v>
      </c>
      <c r="T129" s="16"/>
      <c r="U129" s="17"/>
      <c r="V129" s="18"/>
      <c r="X129" s="18"/>
    </row>
    <row r="130" spans="5:24" s="8" customFormat="1" ht="39.950000000000003" customHeight="1" x14ac:dyDescent="0.25">
      <c r="E130" s="9">
        <v>102</v>
      </c>
      <c r="F130" s="11" t="s">
        <v>243</v>
      </c>
      <c r="G130" s="19" t="s">
        <v>244</v>
      </c>
      <c r="H130" s="11" t="s">
        <v>25</v>
      </c>
      <c r="I130" s="11"/>
      <c r="J130" s="11"/>
      <c r="K130" s="13">
        <v>8902297024955</v>
      </c>
      <c r="L130" s="37">
        <v>47031</v>
      </c>
      <c r="M130" s="11" t="s">
        <v>65</v>
      </c>
      <c r="N130" s="11">
        <v>480</v>
      </c>
      <c r="O130" s="14">
        <v>1530.7774999999999</v>
      </c>
      <c r="P130" s="15">
        <v>1.75</v>
      </c>
      <c r="Q130" s="39"/>
      <c r="R130" s="14">
        <f>O130*Q130</f>
        <v>0</v>
      </c>
      <c r="S130" s="15">
        <f>P130*Q130</f>
        <v>0</v>
      </c>
      <c r="T130" s="16"/>
      <c r="U130" s="17"/>
      <c r="V130" s="18"/>
      <c r="X130" s="18"/>
    </row>
    <row r="131" spans="5:24" s="8" customFormat="1" ht="39.950000000000003" customHeight="1" x14ac:dyDescent="0.25">
      <c r="E131" s="9">
        <v>103</v>
      </c>
      <c r="F131" s="11" t="s">
        <v>245</v>
      </c>
      <c r="G131" s="19" t="s">
        <v>246</v>
      </c>
      <c r="H131" s="11" t="s">
        <v>20</v>
      </c>
      <c r="I131" s="11"/>
      <c r="J131" s="11"/>
      <c r="K131" s="13">
        <v>8902297125546</v>
      </c>
      <c r="L131" s="37">
        <v>46937</v>
      </c>
      <c r="M131" s="11" t="s">
        <v>65</v>
      </c>
      <c r="N131" s="11">
        <v>48</v>
      </c>
      <c r="O131" s="14">
        <v>16532.397000000001</v>
      </c>
      <c r="P131" s="15">
        <v>18.899999999999999</v>
      </c>
      <c r="Q131" s="39"/>
      <c r="R131" s="14">
        <f>O131*Q131</f>
        <v>0</v>
      </c>
      <c r="S131" s="15">
        <f>P131*Q131</f>
        <v>0</v>
      </c>
      <c r="T131" s="16"/>
      <c r="U131" s="17"/>
      <c r="V131" s="18"/>
      <c r="X131" s="18"/>
    </row>
    <row r="132" spans="5:24" s="8" customFormat="1" ht="39.950000000000003" customHeight="1" x14ac:dyDescent="0.25">
      <c r="E132" s="9">
        <v>104</v>
      </c>
      <c r="F132" s="11" t="s">
        <v>247</v>
      </c>
      <c r="G132" s="19" t="s">
        <v>248</v>
      </c>
      <c r="H132" s="11" t="s">
        <v>20</v>
      </c>
      <c r="I132" s="11"/>
      <c r="J132" s="11"/>
      <c r="K132" s="13">
        <v>8909440000989</v>
      </c>
      <c r="L132" s="37">
        <v>47058</v>
      </c>
      <c r="M132" s="11" t="s">
        <v>224</v>
      </c>
      <c r="N132" s="11"/>
      <c r="O132" s="14">
        <v>3017.8184999999999</v>
      </c>
      <c r="P132" s="15">
        <v>3.45</v>
      </c>
      <c r="Q132" s="39"/>
      <c r="R132" s="14">
        <f>O132*Q132</f>
        <v>0</v>
      </c>
      <c r="S132" s="15">
        <f>P132*Q132</f>
        <v>0</v>
      </c>
      <c r="T132" s="16"/>
      <c r="U132" s="17"/>
      <c r="V132" s="18"/>
      <c r="X132" s="18"/>
    </row>
    <row r="133" spans="5:24" s="8" customFormat="1" ht="39.950000000000003" customHeight="1" x14ac:dyDescent="0.25">
      <c r="E133" s="9">
        <v>105</v>
      </c>
      <c r="F133" s="11" t="s">
        <v>249</v>
      </c>
      <c r="G133" s="19" t="s">
        <v>250</v>
      </c>
      <c r="H133" s="11" t="s">
        <v>32</v>
      </c>
      <c r="I133" s="11"/>
      <c r="J133" s="11"/>
      <c r="K133" s="13">
        <v>8906001553564</v>
      </c>
      <c r="L133" s="37">
        <v>46784</v>
      </c>
      <c r="M133" s="11" t="s">
        <v>251</v>
      </c>
      <c r="N133" s="11">
        <v>400</v>
      </c>
      <c r="O133" s="14">
        <v>1207.1274000000001</v>
      </c>
      <c r="P133" s="15">
        <v>1.38</v>
      </c>
      <c r="Q133" s="39"/>
      <c r="R133" s="14">
        <f>O133*Q133</f>
        <v>0</v>
      </c>
      <c r="S133" s="15">
        <f>P133*Q133</f>
        <v>0</v>
      </c>
      <c r="T133" s="16"/>
      <c r="U133" s="17"/>
      <c r="V133" s="18"/>
      <c r="X133" s="18"/>
    </row>
    <row r="134" spans="5:24" s="8" customFormat="1" ht="39.950000000000003" customHeight="1" x14ac:dyDescent="0.25">
      <c r="E134" s="9">
        <v>106</v>
      </c>
      <c r="F134" s="11" t="s">
        <v>252</v>
      </c>
      <c r="G134" s="19" t="s">
        <v>253</v>
      </c>
      <c r="H134" s="11" t="s">
        <v>25</v>
      </c>
      <c r="I134" s="11"/>
      <c r="J134" s="11"/>
      <c r="K134" s="13">
        <v>8902297025891</v>
      </c>
      <c r="L134" s="37">
        <v>47062</v>
      </c>
      <c r="M134" s="11" t="s">
        <v>21</v>
      </c>
      <c r="N134" s="11"/>
      <c r="O134" s="14">
        <v>2484.2332000000001</v>
      </c>
      <c r="P134" s="15">
        <v>2.84</v>
      </c>
      <c r="Q134" s="39"/>
      <c r="R134" s="14">
        <f>O134*Q134</f>
        <v>0</v>
      </c>
      <c r="S134" s="15">
        <f>P134*Q134</f>
        <v>0</v>
      </c>
      <c r="T134" s="16"/>
      <c r="U134" s="17"/>
      <c r="V134" s="18"/>
      <c r="X134" s="18"/>
    </row>
    <row r="135" spans="5:24" s="8" customFormat="1" ht="39.950000000000003" customHeight="1" x14ac:dyDescent="0.25">
      <c r="E135" s="9">
        <v>107</v>
      </c>
      <c r="F135" s="11" t="s">
        <v>254</v>
      </c>
      <c r="G135" s="19" t="s">
        <v>255</v>
      </c>
      <c r="H135" s="11" t="s">
        <v>20</v>
      </c>
      <c r="I135" s="11"/>
      <c r="J135" s="11"/>
      <c r="K135" s="13">
        <v>8902297026201</v>
      </c>
      <c r="L135" s="37">
        <v>46661</v>
      </c>
      <c r="M135" s="11" t="s">
        <v>21</v>
      </c>
      <c r="N135" s="11"/>
      <c r="O135" s="14">
        <v>1180.8855000000001</v>
      </c>
      <c r="P135" s="15">
        <v>1.35</v>
      </c>
      <c r="Q135" s="39"/>
      <c r="R135" s="14">
        <f>O135*Q135</f>
        <v>0</v>
      </c>
      <c r="S135" s="15">
        <f>P135*Q135</f>
        <v>0</v>
      </c>
      <c r="T135" s="16"/>
      <c r="U135" s="17"/>
      <c r="V135" s="18"/>
      <c r="X135" s="18"/>
    </row>
    <row r="136" spans="5:24" s="8" customFormat="1" ht="39.950000000000003" customHeight="1" x14ac:dyDescent="0.25">
      <c r="E136" s="9">
        <v>108</v>
      </c>
      <c r="F136" s="11" t="s">
        <v>256</v>
      </c>
      <c r="G136" s="19" t="s">
        <v>257</v>
      </c>
      <c r="H136" s="11" t="s">
        <v>25</v>
      </c>
      <c r="I136" s="11"/>
      <c r="J136" s="11"/>
      <c r="K136" s="13">
        <v>8908020242634</v>
      </c>
      <c r="L136" s="37">
        <v>46663</v>
      </c>
      <c r="M136" s="11" t="s">
        <v>224</v>
      </c>
      <c r="N136" s="11">
        <v>1000</v>
      </c>
      <c r="O136" s="14">
        <v>874.73</v>
      </c>
      <c r="P136" s="15">
        <v>1</v>
      </c>
      <c r="Q136" s="39"/>
      <c r="R136" s="14">
        <f>O136*Q136</f>
        <v>0</v>
      </c>
      <c r="S136" s="15">
        <f>P136*Q136</f>
        <v>0</v>
      </c>
      <c r="T136" s="16"/>
      <c r="U136" s="17"/>
      <c r="V136" s="18"/>
      <c r="X136" s="18"/>
    </row>
    <row r="137" spans="5:24" s="8" customFormat="1" ht="39.950000000000003" customHeight="1" x14ac:dyDescent="0.25">
      <c r="E137" s="9">
        <v>109</v>
      </c>
      <c r="F137" s="11" t="s">
        <v>258</v>
      </c>
      <c r="G137" s="19" t="s">
        <v>259</v>
      </c>
      <c r="H137" s="11" t="s">
        <v>25</v>
      </c>
      <c r="I137" s="11"/>
      <c r="J137" s="11"/>
      <c r="K137" s="13">
        <v>8909440000521</v>
      </c>
      <c r="L137" s="37">
        <v>47127</v>
      </c>
      <c r="M137" s="11" t="s">
        <v>48</v>
      </c>
      <c r="N137" s="11"/>
      <c r="O137" s="14">
        <v>1119.6543999999999</v>
      </c>
      <c r="P137" s="15">
        <v>1.28</v>
      </c>
      <c r="Q137" s="39"/>
      <c r="R137" s="14">
        <f>O137*Q137</f>
        <v>0</v>
      </c>
      <c r="S137" s="15">
        <f>P137*Q137</f>
        <v>0</v>
      </c>
      <c r="T137" s="16"/>
      <c r="U137" s="17"/>
      <c r="V137" s="18"/>
      <c r="X137" s="18"/>
    </row>
    <row r="138" spans="5:24" s="8" customFormat="1" ht="39.950000000000003" customHeight="1" x14ac:dyDescent="0.25">
      <c r="E138" s="9">
        <v>110</v>
      </c>
      <c r="F138" s="11" t="s">
        <v>260</v>
      </c>
      <c r="G138" s="19" t="s">
        <v>261</v>
      </c>
      <c r="H138" s="11" t="s">
        <v>25</v>
      </c>
      <c r="I138" s="11"/>
      <c r="J138" s="11"/>
      <c r="K138" s="13">
        <v>8909440000545</v>
      </c>
      <c r="L138" s="37">
        <v>47121</v>
      </c>
      <c r="M138" s="11" t="s">
        <v>48</v>
      </c>
      <c r="N138" s="11"/>
      <c r="O138" s="14">
        <v>953.45569999999998</v>
      </c>
      <c r="P138" s="15">
        <v>1.0900000000000001</v>
      </c>
      <c r="Q138" s="39"/>
      <c r="R138" s="14">
        <f>O138*Q138</f>
        <v>0</v>
      </c>
      <c r="S138" s="15">
        <f>P138*Q138</f>
        <v>0</v>
      </c>
      <c r="T138" s="16"/>
      <c r="U138" s="17"/>
      <c r="V138" s="18"/>
      <c r="X138" s="18"/>
    </row>
    <row r="139" spans="5:24" s="8" customFormat="1" ht="39.950000000000003" customHeight="1" x14ac:dyDescent="0.25">
      <c r="E139" s="9">
        <v>111</v>
      </c>
      <c r="F139" s="11" t="s">
        <v>262</v>
      </c>
      <c r="G139" s="19" t="s">
        <v>263</v>
      </c>
      <c r="H139" s="11" t="s">
        <v>20</v>
      </c>
      <c r="I139" s="11"/>
      <c r="J139" s="11"/>
      <c r="K139" s="13">
        <v>8906005116871</v>
      </c>
      <c r="L139" s="37">
        <v>46848</v>
      </c>
      <c r="M139" s="11" t="s">
        <v>190</v>
      </c>
      <c r="N139" s="11">
        <v>960</v>
      </c>
      <c r="O139" s="14">
        <v>1740.7127</v>
      </c>
      <c r="P139" s="15">
        <v>1.99</v>
      </c>
      <c r="Q139" s="39"/>
      <c r="R139" s="14">
        <f>O139*Q139</f>
        <v>0</v>
      </c>
      <c r="S139" s="15">
        <f>P139*Q139</f>
        <v>0</v>
      </c>
      <c r="T139" s="16"/>
      <c r="U139" s="17"/>
      <c r="V139" s="18"/>
      <c r="X139" s="18"/>
    </row>
    <row r="140" spans="5:24" s="8" customFormat="1" ht="39.950000000000003" customHeight="1" x14ac:dyDescent="0.25">
      <c r="E140" s="9">
        <v>113</v>
      </c>
      <c r="F140" s="11" t="s">
        <v>266</v>
      </c>
      <c r="G140" s="19" t="s">
        <v>267</v>
      </c>
      <c r="H140" s="11" t="s">
        <v>32</v>
      </c>
      <c r="I140" s="11"/>
      <c r="J140" s="11"/>
      <c r="K140" s="13">
        <v>8906005119513</v>
      </c>
      <c r="L140" s="37">
        <v>46846</v>
      </c>
      <c r="M140" s="11" t="s">
        <v>190</v>
      </c>
      <c r="N140" s="11">
        <v>560</v>
      </c>
      <c r="O140" s="14">
        <v>1312.095</v>
      </c>
      <c r="P140" s="15">
        <v>1.5</v>
      </c>
      <c r="Q140" s="39"/>
      <c r="R140" s="14">
        <f>O140*Q140</f>
        <v>0</v>
      </c>
      <c r="S140" s="15">
        <f>P140*Q140</f>
        <v>0</v>
      </c>
      <c r="T140" s="16"/>
      <c r="U140" s="17"/>
      <c r="V140" s="18"/>
      <c r="X140" s="18"/>
    </row>
    <row r="141" spans="5:24" s="8" customFormat="1" ht="39.950000000000003" customHeight="1" x14ac:dyDescent="0.25">
      <c r="E141" s="9">
        <v>114</v>
      </c>
      <c r="F141" s="11" t="s">
        <v>268</v>
      </c>
      <c r="G141" s="19" t="s">
        <v>269</v>
      </c>
      <c r="H141" s="11" t="s">
        <v>20</v>
      </c>
      <c r="I141" s="11"/>
      <c r="J141" s="11"/>
      <c r="K141" s="13">
        <v>8909440000668</v>
      </c>
      <c r="L141" s="37">
        <v>46967</v>
      </c>
      <c r="M141" s="11" t="s">
        <v>42</v>
      </c>
      <c r="N141" s="11">
        <v>2500</v>
      </c>
      <c r="O141" s="14">
        <v>586.06910000000005</v>
      </c>
      <c r="P141" s="15">
        <v>0.67</v>
      </c>
      <c r="Q141" s="39"/>
      <c r="R141" s="14">
        <f>O141*Q141</f>
        <v>0</v>
      </c>
      <c r="S141" s="15">
        <f>P141*Q141</f>
        <v>0</v>
      </c>
      <c r="T141" s="16"/>
      <c r="U141" s="17"/>
      <c r="V141" s="18"/>
      <c r="X141" s="18"/>
    </row>
    <row r="142" spans="5:24" s="8" customFormat="1" ht="39.950000000000003" customHeight="1" x14ac:dyDescent="0.25">
      <c r="E142" s="9">
        <v>115</v>
      </c>
      <c r="F142" s="11" t="s">
        <v>270</v>
      </c>
      <c r="G142" s="19" t="s">
        <v>271</v>
      </c>
      <c r="H142" s="11" t="s">
        <v>32</v>
      </c>
      <c r="I142" s="11"/>
      <c r="J142" s="11"/>
      <c r="K142" s="13">
        <v>8901872009172</v>
      </c>
      <c r="L142" s="37">
        <v>46692</v>
      </c>
      <c r="M142" s="11" t="s">
        <v>190</v>
      </c>
      <c r="N142" s="11">
        <v>1452</v>
      </c>
      <c r="O142" s="14">
        <v>612.31100000000004</v>
      </c>
      <c r="P142" s="15">
        <v>0.7</v>
      </c>
      <c r="Q142" s="39"/>
      <c r="R142" s="14">
        <f>O142*Q142</f>
        <v>0</v>
      </c>
      <c r="S142" s="15">
        <f>P142*Q142</f>
        <v>0</v>
      </c>
      <c r="T142" s="16"/>
      <c r="U142" s="17"/>
      <c r="V142" s="18"/>
      <c r="X142" s="18"/>
    </row>
    <row r="143" spans="5:24" s="8" customFormat="1" ht="39.950000000000003" customHeight="1" x14ac:dyDescent="0.25">
      <c r="E143" s="9">
        <v>117</v>
      </c>
      <c r="F143" s="11" t="s">
        <v>274</v>
      </c>
      <c r="G143" s="19" t="s">
        <v>275</v>
      </c>
      <c r="H143" s="11" t="s">
        <v>32</v>
      </c>
      <c r="I143" s="11"/>
      <c r="J143" s="11"/>
      <c r="K143" s="13">
        <v>8909440000163</v>
      </c>
      <c r="L143" s="37">
        <v>46970</v>
      </c>
      <c r="M143" s="11" t="s">
        <v>58</v>
      </c>
      <c r="N143" s="11">
        <v>2500</v>
      </c>
      <c r="O143" s="14">
        <v>498.59609999999998</v>
      </c>
      <c r="P143" s="15">
        <v>0.56999999999999995</v>
      </c>
      <c r="Q143" s="39"/>
      <c r="R143" s="14">
        <f>O143*Q143</f>
        <v>0</v>
      </c>
      <c r="S143" s="15">
        <f>P143*Q143</f>
        <v>0</v>
      </c>
      <c r="T143" s="16"/>
      <c r="U143" s="17"/>
      <c r="V143" s="18"/>
      <c r="X143" s="18"/>
    </row>
    <row r="144" spans="5:24" s="8" customFormat="1" ht="39.950000000000003" customHeight="1" x14ac:dyDescent="0.25">
      <c r="E144" s="9">
        <v>118</v>
      </c>
      <c r="F144" s="11" t="s">
        <v>276</v>
      </c>
      <c r="G144" s="19" t="s">
        <v>277</v>
      </c>
      <c r="H144" s="11" t="s">
        <v>25</v>
      </c>
      <c r="I144" s="11"/>
      <c r="J144" s="11"/>
      <c r="K144" s="13">
        <v>6925881203569</v>
      </c>
      <c r="L144" s="37">
        <v>47178</v>
      </c>
      <c r="M144" s="11" t="s">
        <v>58</v>
      </c>
      <c r="N144" s="11"/>
      <c r="O144" s="14">
        <v>218.6825</v>
      </c>
      <c r="P144" s="15">
        <v>0.25</v>
      </c>
      <c r="Q144" s="39"/>
      <c r="R144" s="14">
        <f>O144*Q144</f>
        <v>0</v>
      </c>
      <c r="S144" s="15">
        <f>P144*Q144</f>
        <v>0</v>
      </c>
      <c r="T144" s="16"/>
      <c r="U144" s="17"/>
      <c r="V144" s="18"/>
      <c r="X144" s="18"/>
    </row>
    <row r="145" spans="5:24" s="8" customFormat="1" ht="39.950000000000003" customHeight="1" x14ac:dyDescent="0.25">
      <c r="E145" s="9">
        <v>119</v>
      </c>
      <c r="F145" s="11" t="s">
        <v>278</v>
      </c>
      <c r="G145" s="19" t="s">
        <v>279</v>
      </c>
      <c r="H145" s="11" t="s">
        <v>20</v>
      </c>
      <c r="I145" s="11"/>
      <c r="J145" s="11"/>
      <c r="K145" s="13">
        <v>8902297022357</v>
      </c>
      <c r="L145" s="37">
        <v>46997</v>
      </c>
      <c r="M145" s="11" t="s">
        <v>42</v>
      </c>
      <c r="N145" s="11">
        <v>1000</v>
      </c>
      <c r="O145" s="14">
        <v>1137.1489999999999</v>
      </c>
      <c r="P145" s="15">
        <v>1.3</v>
      </c>
      <c r="Q145" s="39"/>
      <c r="R145" s="14">
        <f>O145*Q145</f>
        <v>0</v>
      </c>
      <c r="S145" s="15">
        <f>P145*Q145</f>
        <v>0</v>
      </c>
      <c r="T145" s="16"/>
      <c r="U145" s="17"/>
      <c r="V145" s="18"/>
      <c r="X145" s="18"/>
    </row>
    <row r="146" spans="5:24" s="8" customFormat="1" ht="39.950000000000003" customHeight="1" x14ac:dyDescent="0.25">
      <c r="E146" s="9">
        <v>120</v>
      </c>
      <c r="F146" s="11" t="s">
        <v>280</v>
      </c>
      <c r="G146" s="19" t="s">
        <v>281</v>
      </c>
      <c r="H146" s="11" t="s">
        <v>20</v>
      </c>
      <c r="I146" s="11"/>
      <c r="J146" s="11"/>
      <c r="K146" s="13">
        <v>8902297031175</v>
      </c>
      <c r="L146" s="37">
        <v>46844</v>
      </c>
      <c r="M146" s="11" t="s">
        <v>48</v>
      </c>
      <c r="N146" s="11"/>
      <c r="O146" s="14">
        <v>4198.7039999999997</v>
      </c>
      <c r="P146" s="15">
        <v>4.8</v>
      </c>
      <c r="Q146" s="39"/>
      <c r="R146" s="14">
        <f>O146*Q146</f>
        <v>0</v>
      </c>
      <c r="S146" s="15">
        <f>P146*Q146</f>
        <v>0</v>
      </c>
      <c r="T146" s="16"/>
      <c r="U146" s="17"/>
      <c r="V146" s="18"/>
      <c r="X146" s="18"/>
    </row>
    <row r="147" spans="5:24" s="8" customFormat="1" ht="39.950000000000003" customHeight="1" x14ac:dyDescent="0.25">
      <c r="E147" s="9">
        <v>121</v>
      </c>
      <c r="F147" s="11" t="s">
        <v>282</v>
      </c>
      <c r="G147" s="19" t="s">
        <v>283</v>
      </c>
      <c r="H147" s="11" t="s">
        <v>20</v>
      </c>
      <c r="I147" s="11"/>
      <c r="J147" s="11"/>
      <c r="K147" s="13">
        <v>8902297031182</v>
      </c>
      <c r="L147" s="37">
        <v>46844</v>
      </c>
      <c r="M147" s="11" t="s">
        <v>48</v>
      </c>
      <c r="N147" s="11"/>
      <c r="O147" s="14">
        <v>5668.2503999999999</v>
      </c>
      <c r="P147" s="15">
        <v>6.48</v>
      </c>
      <c r="Q147" s="39"/>
      <c r="R147" s="14">
        <f>O147*Q147</f>
        <v>0</v>
      </c>
      <c r="S147" s="15">
        <f>P147*Q147</f>
        <v>0</v>
      </c>
      <c r="T147" s="16"/>
      <c r="U147" s="17"/>
      <c r="V147" s="18"/>
      <c r="X147" s="18"/>
    </row>
    <row r="148" spans="5:24" s="8" customFormat="1" ht="39.950000000000003" customHeight="1" x14ac:dyDescent="0.25">
      <c r="E148" s="9">
        <v>122</v>
      </c>
      <c r="F148" s="11" t="s">
        <v>284</v>
      </c>
      <c r="G148" s="19" t="s">
        <v>285</v>
      </c>
      <c r="H148" s="11" t="s">
        <v>25</v>
      </c>
      <c r="I148" s="11"/>
      <c r="J148" s="11"/>
      <c r="K148" s="13">
        <v>8901872009219</v>
      </c>
      <c r="L148" s="37">
        <v>47058</v>
      </c>
      <c r="M148" s="11" t="s">
        <v>58</v>
      </c>
      <c r="N148" s="11"/>
      <c r="O148" s="14">
        <v>349.892</v>
      </c>
      <c r="P148" s="15">
        <v>0.4</v>
      </c>
      <c r="Q148" s="39"/>
      <c r="R148" s="14">
        <f>O148*Q148</f>
        <v>0</v>
      </c>
      <c r="S148" s="15">
        <f>P148*Q148</f>
        <v>0</v>
      </c>
      <c r="T148" s="16"/>
      <c r="U148" s="17"/>
      <c r="V148" s="18"/>
      <c r="X148" s="18"/>
    </row>
    <row r="149" spans="5:24" s="8" customFormat="1" ht="39.950000000000003" customHeight="1" x14ac:dyDescent="0.25">
      <c r="E149" s="9">
        <v>124</v>
      </c>
      <c r="F149" s="11" t="s">
        <v>288</v>
      </c>
      <c r="G149" s="19" t="s">
        <v>289</v>
      </c>
      <c r="H149" s="11" t="s">
        <v>25</v>
      </c>
      <c r="I149" s="11"/>
      <c r="J149" s="11"/>
      <c r="K149" s="13">
        <v>8901872009226</v>
      </c>
      <c r="L149" s="37">
        <v>46784</v>
      </c>
      <c r="M149" s="11" t="s">
        <v>58</v>
      </c>
      <c r="N149" s="11"/>
      <c r="O149" s="14">
        <v>1093.4124999999999</v>
      </c>
      <c r="P149" s="15">
        <v>1.25</v>
      </c>
      <c r="Q149" s="39"/>
      <c r="R149" s="14">
        <f>O149*Q149</f>
        <v>0</v>
      </c>
      <c r="S149" s="15">
        <f>P149*Q149</f>
        <v>0</v>
      </c>
      <c r="T149" s="16"/>
      <c r="U149" s="17"/>
      <c r="V149" s="18"/>
      <c r="X149" s="18"/>
    </row>
    <row r="150" spans="5:24" s="8" customFormat="1" ht="39.950000000000003" customHeight="1" x14ac:dyDescent="0.25">
      <c r="E150" s="9">
        <v>125</v>
      </c>
      <c r="F150" s="11" t="s">
        <v>290</v>
      </c>
      <c r="G150" s="19" t="s">
        <v>291</v>
      </c>
      <c r="H150" s="11" t="s">
        <v>32</v>
      </c>
      <c r="I150" s="11"/>
      <c r="J150" s="11"/>
      <c r="K150" s="13">
        <v>8902297026898</v>
      </c>
      <c r="L150" s="37">
        <v>46878</v>
      </c>
      <c r="M150" s="11" t="s">
        <v>190</v>
      </c>
      <c r="N150" s="11">
        <v>450</v>
      </c>
      <c r="O150" s="14">
        <v>1836.933</v>
      </c>
      <c r="P150" s="15">
        <v>2.1</v>
      </c>
      <c r="Q150" s="39"/>
      <c r="R150" s="14">
        <f>O150*Q150</f>
        <v>0</v>
      </c>
      <c r="S150" s="15">
        <f>P150*Q150</f>
        <v>0</v>
      </c>
      <c r="T150" s="16"/>
      <c r="U150" s="17"/>
      <c r="V150" s="18"/>
      <c r="X150" s="18"/>
    </row>
    <row r="151" spans="5:24" s="8" customFormat="1" ht="39.950000000000003" customHeight="1" x14ac:dyDescent="0.25">
      <c r="E151" s="9">
        <v>126</v>
      </c>
      <c r="F151" s="11" t="s">
        <v>292</v>
      </c>
      <c r="G151" s="19" t="s">
        <v>293</v>
      </c>
      <c r="H151" s="11" t="s">
        <v>20</v>
      </c>
      <c r="I151" s="11"/>
      <c r="J151" s="11"/>
      <c r="K151" s="13">
        <v>8906001557111</v>
      </c>
      <c r="L151" s="38">
        <v>46329</v>
      </c>
      <c r="M151" s="11" t="s">
        <v>190</v>
      </c>
      <c r="N151" s="11"/>
      <c r="O151" s="14">
        <v>1968.1424999999999</v>
      </c>
      <c r="P151" s="15">
        <v>2.25</v>
      </c>
      <c r="Q151" s="39"/>
      <c r="R151" s="14">
        <f>O151*Q151</f>
        <v>0</v>
      </c>
      <c r="S151" s="15">
        <f>P151*Q151</f>
        <v>0</v>
      </c>
      <c r="T151" s="16"/>
      <c r="U151" s="17"/>
      <c r="V151" s="18"/>
      <c r="X151" s="18"/>
    </row>
    <row r="152" spans="5:24" s="8" customFormat="1" ht="39.950000000000003" customHeight="1" x14ac:dyDescent="0.25">
      <c r="E152" s="9">
        <v>127</v>
      </c>
      <c r="F152" s="11" t="s">
        <v>294</v>
      </c>
      <c r="G152" s="19" t="s">
        <v>295</v>
      </c>
      <c r="H152" s="11" t="s">
        <v>20</v>
      </c>
      <c r="I152" s="11"/>
      <c r="J152" s="11"/>
      <c r="K152" s="13">
        <v>8906044710986</v>
      </c>
      <c r="L152" s="37">
        <v>46844</v>
      </c>
      <c r="M152" s="11" t="s">
        <v>42</v>
      </c>
      <c r="N152" s="11">
        <v>216</v>
      </c>
      <c r="O152" s="14">
        <v>979.69759999999997</v>
      </c>
      <c r="P152" s="15">
        <v>1.1200000000000001</v>
      </c>
      <c r="Q152" s="39"/>
      <c r="R152" s="14">
        <f>O152*Q152</f>
        <v>0</v>
      </c>
      <c r="S152" s="15">
        <f>P152*Q152</f>
        <v>0</v>
      </c>
      <c r="T152" s="16"/>
      <c r="U152" s="17"/>
      <c r="V152" s="18"/>
      <c r="X152" s="18"/>
    </row>
    <row r="153" spans="5:24" s="8" customFormat="1" ht="39.950000000000003" customHeight="1" x14ac:dyDescent="0.25">
      <c r="E153" s="9">
        <v>128</v>
      </c>
      <c r="F153" s="11" t="s">
        <v>296</v>
      </c>
      <c r="G153" s="19" t="s">
        <v>297</v>
      </c>
      <c r="H153" s="11" t="s">
        <v>25</v>
      </c>
      <c r="I153" s="11"/>
      <c r="J153" s="11"/>
      <c r="K153" s="13">
        <v>8906005116598</v>
      </c>
      <c r="L153" s="37">
        <v>46483</v>
      </c>
      <c r="M153" s="11" t="s">
        <v>58</v>
      </c>
      <c r="N153" s="11">
        <v>2500</v>
      </c>
      <c r="O153" s="14">
        <v>253.67169999999999</v>
      </c>
      <c r="P153" s="15">
        <v>0.28999999999999998</v>
      </c>
      <c r="Q153" s="39"/>
      <c r="R153" s="14">
        <f>O153*Q153</f>
        <v>0</v>
      </c>
      <c r="S153" s="15">
        <f>P153*Q153</f>
        <v>0</v>
      </c>
      <c r="T153" s="16"/>
      <c r="U153" s="17"/>
      <c r="V153" s="18"/>
      <c r="X153" s="18"/>
    </row>
    <row r="154" spans="5:24" s="8" customFormat="1" ht="39.950000000000003" customHeight="1" x14ac:dyDescent="0.25">
      <c r="E154" s="9">
        <v>130</v>
      </c>
      <c r="F154" s="11" t="s">
        <v>300</v>
      </c>
      <c r="G154" s="19" t="s">
        <v>301</v>
      </c>
      <c r="H154" s="11" t="s">
        <v>20</v>
      </c>
      <c r="I154" s="11"/>
      <c r="J154" s="11"/>
      <c r="K154" s="13">
        <v>8906001559597</v>
      </c>
      <c r="L154" s="37">
        <v>47027</v>
      </c>
      <c r="M154" s="11" t="s">
        <v>111</v>
      </c>
      <c r="N154" s="11">
        <v>600</v>
      </c>
      <c r="O154" s="14">
        <v>1968.1424999999999</v>
      </c>
      <c r="P154" s="15">
        <v>2.25</v>
      </c>
      <c r="Q154" s="39"/>
      <c r="R154" s="14">
        <f>O154*Q154</f>
        <v>0</v>
      </c>
      <c r="S154" s="15">
        <f>P154*Q154</f>
        <v>0</v>
      </c>
      <c r="T154" s="16"/>
      <c r="U154" s="17"/>
      <c r="V154" s="18"/>
      <c r="X154" s="18"/>
    </row>
    <row r="155" spans="5:24" s="8" customFormat="1" ht="39.950000000000003" customHeight="1" x14ac:dyDescent="0.25">
      <c r="E155" s="9">
        <v>131</v>
      </c>
      <c r="F155" s="11" t="s">
        <v>302</v>
      </c>
      <c r="G155" s="19" t="s">
        <v>303</v>
      </c>
      <c r="H155" s="11" t="s">
        <v>25</v>
      </c>
      <c r="I155" s="11"/>
      <c r="J155" s="11"/>
      <c r="K155" s="13">
        <v>6925881203583</v>
      </c>
      <c r="L155" s="37">
        <v>46936</v>
      </c>
      <c r="M155" s="11" t="s">
        <v>116</v>
      </c>
      <c r="N155" s="11">
        <v>600</v>
      </c>
      <c r="O155" s="14">
        <v>3017.8184999999999</v>
      </c>
      <c r="P155" s="15">
        <v>3.45</v>
      </c>
      <c r="Q155" s="39"/>
      <c r="R155" s="14">
        <f>O155*Q155</f>
        <v>0</v>
      </c>
      <c r="S155" s="15">
        <f>P155*Q155</f>
        <v>0</v>
      </c>
      <c r="T155" s="16"/>
      <c r="U155" s="17"/>
      <c r="V155" s="18"/>
      <c r="X155" s="18"/>
    </row>
    <row r="156" spans="5:24" s="8" customFormat="1" ht="39.950000000000003" customHeight="1" x14ac:dyDescent="0.25">
      <c r="E156" s="9">
        <v>132</v>
      </c>
      <c r="F156" s="11" t="s">
        <v>304</v>
      </c>
      <c r="G156" s="19" t="s">
        <v>305</v>
      </c>
      <c r="H156" s="11" t="s">
        <v>25</v>
      </c>
      <c r="I156" s="11"/>
      <c r="J156" s="11"/>
      <c r="K156" s="13">
        <v>8902297026522</v>
      </c>
      <c r="L156" s="37">
        <v>46874</v>
      </c>
      <c r="M156" s="11" t="s">
        <v>55</v>
      </c>
      <c r="N156" s="11"/>
      <c r="O156" s="14">
        <v>2195.5722999999998</v>
      </c>
      <c r="P156" s="15">
        <v>2.5099999999999998</v>
      </c>
      <c r="Q156" s="39"/>
      <c r="R156" s="14">
        <f>O156*Q156</f>
        <v>0</v>
      </c>
      <c r="S156" s="15">
        <f>P156*Q156</f>
        <v>0</v>
      </c>
      <c r="T156" s="16"/>
      <c r="U156" s="17"/>
      <c r="V156" s="18"/>
      <c r="X156" s="18"/>
    </row>
    <row r="157" spans="5:24" s="8" customFormat="1" ht="39.950000000000003" customHeight="1" x14ac:dyDescent="0.25">
      <c r="E157" s="9">
        <v>133</v>
      </c>
      <c r="F157" s="11" t="s">
        <v>306</v>
      </c>
      <c r="G157" s="19" t="s">
        <v>307</v>
      </c>
      <c r="H157" s="11" t="s">
        <v>20</v>
      </c>
      <c r="I157" s="11"/>
      <c r="J157" s="11"/>
      <c r="K157" s="13">
        <v>8902297026508</v>
      </c>
      <c r="L157" s="37">
        <v>46874</v>
      </c>
      <c r="M157" s="11" t="s">
        <v>55</v>
      </c>
      <c r="N157" s="11">
        <v>216</v>
      </c>
      <c r="O157" s="14">
        <v>2195.5722999999998</v>
      </c>
      <c r="P157" s="15">
        <v>2.5099999999999998</v>
      </c>
      <c r="Q157" s="39"/>
      <c r="R157" s="14">
        <f>O157*Q157</f>
        <v>0</v>
      </c>
      <c r="S157" s="15">
        <f>P157*Q157</f>
        <v>0</v>
      </c>
      <c r="T157" s="16"/>
      <c r="U157" s="17"/>
      <c r="V157" s="18"/>
      <c r="X157" s="18"/>
    </row>
    <row r="158" spans="5:24" s="8" customFormat="1" ht="39.950000000000003" customHeight="1" x14ac:dyDescent="0.25">
      <c r="E158" s="9">
        <v>134</v>
      </c>
      <c r="F158" s="11" t="s">
        <v>308</v>
      </c>
      <c r="G158" s="19" t="s">
        <v>309</v>
      </c>
      <c r="H158" s="11" t="s">
        <v>20</v>
      </c>
      <c r="I158" s="11"/>
      <c r="J158" s="11"/>
      <c r="K158" s="13">
        <v>8902297026539</v>
      </c>
      <c r="L158" s="37">
        <v>46874</v>
      </c>
      <c r="M158" s="11" t="s">
        <v>55</v>
      </c>
      <c r="N158" s="11">
        <v>216</v>
      </c>
      <c r="O158" s="14">
        <v>2195.5722999999998</v>
      </c>
      <c r="P158" s="15">
        <v>2.5099999999999998</v>
      </c>
      <c r="Q158" s="39"/>
      <c r="R158" s="14">
        <f>O158*Q158</f>
        <v>0</v>
      </c>
      <c r="S158" s="15">
        <f>P158*Q158</f>
        <v>0</v>
      </c>
      <c r="T158" s="16"/>
      <c r="U158" s="17"/>
      <c r="V158" s="18"/>
      <c r="X158" s="18"/>
    </row>
    <row r="159" spans="5:24" s="8" customFormat="1" ht="39.950000000000003" customHeight="1" x14ac:dyDescent="0.25">
      <c r="E159" s="9">
        <v>135</v>
      </c>
      <c r="F159" s="11" t="s">
        <v>310</v>
      </c>
      <c r="G159" s="19" t="s">
        <v>311</v>
      </c>
      <c r="H159" s="11" t="s">
        <v>25</v>
      </c>
      <c r="I159" s="11"/>
      <c r="J159" s="11"/>
      <c r="K159" s="13">
        <v>8909440002815</v>
      </c>
      <c r="L159" s="37">
        <v>47153</v>
      </c>
      <c r="M159" s="11" t="s">
        <v>312</v>
      </c>
      <c r="N159" s="11"/>
      <c r="O159" s="14">
        <v>4286.1769999999997</v>
      </c>
      <c r="P159" s="15">
        <v>4.9000000000000004</v>
      </c>
      <c r="Q159" s="39"/>
      <c r="R159" s="14">
        <f>O159*Q159</f>
        <v>0</v>
      </c>
      <c r="S159" s="15">
        <f>P159*Q159</f>
        <v>0</v>
      </c>
      <c r="T159" s="16"/>
      <c r="U159" s="17"/>
      <c r="V159" s="18"/>
      <c r="X159" s="18"/>
    </row>
    <row r="160" spans="5:24" s="8" customFormat="1" ht="39.950000000000003" customHeight="1" x14ac:dyDescent="0.25">
      <c r="E160" s="9">
        <v>136</v>
      </c>
      <c r="F160" s="11" t="s">
        <v>313</v>
      </c>
      <c r="G160" s="19" t="s">
        <v>314</v>
      </c>
      <c r="H160" s="11" t="s">
        <v>25</v>
      </c>
      <c r="I160" s="11"/>
      <c r="J160" s="11"/>
      <c r="K160" s="13">
        <v>8909440002792</v>
      </c>
      <c r="L160" s="37">
        <v>47120</v>
      </c>
      <c r="M160" s="11" t="s">
        <v>55</v>
      </c>
      <c r="N160" s="11">
        <v>240</v>
      </c>
      <c r="O160" s="14">
        <v>4286.1769999999997</v>
      </c>
      <c r="P160" s="15">
        <v>4.9000000000000004</v>
      </c>
      <c r="Q160" s="39"/>
      <c r="R160" s="14">
        <f>O160*Q160</f>
        <v>0</v>
      </c>
      <c r="S160" s="15">
        <f>P160*Q160</f>
        <v>0</v>
      </c>
      <c r="T160" s="16"/>
      <c r="U160" s="17"/>
      <c r="V160" s="18"/>
      <c r="X160" s="18"/>
    </row>
    <row r="161" spans="5:24" s="8" customFormat="1" ht="39.950000000000003" customHeight="1" x14ac:dyDescent="0.25">
      <c r="E161" s="9">
        <v>137</v>
      </c>
      <c r="F161" s="11" t="s">
        <v>315</v>
      </c>
      <c r="G161" s="19" t="s">
        <v>316</v>
      </c>
      <c r="H161" s="11" t="s">
        <v>20</v>
      </c>
      <c r="I161" s="11"/>
      <c r="J161" s="11"/>
      <c r="K161" s="13">
        <v>8909440001481</v>
      </c>
      <c r="L161" s="37">
        <v>47120</v>
      </c>
      <c r="M161" s="11" t="s">
        <v>55</v>
      </c>
      <c r="N161" s="11"/>
      <c r="O161" s="14">
        <v>4286.1769999999997</v>
      </c>
      <c r="P161" s="15">
        <v>4.9000000000000004</v>
      </c>
      <c r="Q161" s="39"/>
      <c r="R161" s="14">
        <f>O161*Q161</f>
        <v>0</v>
      </c>
      <c r="S161" s="15">
        <f>P161*Q161</f>
        <v>0</v>
      </c>
      <c r="T161" s="16"/>
      <c r="U161" s="17"/>
      <c r="V161" s="18"/>
      <c r="X161" s="18"/>
    </row>
    <row r="162" spans="5:24" s="8" customFormat="1" ht="39.950000000000003" customHeight="1" x14ac:dyDescent="0.25">
      <c r="E162" s="9">
        <v>138</v>
      </c>
      <c r="F162" s="11" t="s">
        <v>317</v>
      </c>
      <c r="G162" s="19" t="s">
        <v>318</v>
      </c>
      <c r="H162" s="11" t="s">
        <v>32</v>
      </c>
      <c r="I162" s="11"/>
      <c r="J162" s="11"/>
      <c r="K162" s="13">
        <v>8902297024559</v>
      </c>
      <c r="L162" s="37">
        <v>47000</v>
      </c>
      <c r="M162" s="11" t="s">
        <v>21</v>
      </c>
      <c r="N162" s="11">
        <v>100</v>
      </c>
      <c r="O162" s="14">
        <v>1180.8855000000001</v>
      </c>
      <c r="P162" s="15">
        <v>1.35</v>
      </c>
      <c r="Q162" s="39"/>
      <c r="R162" s="14">
        <f>O162*Q162</f>
        <v>0</v>
      </c>
      <c r="S162" s="15">
        <f>P162*Q162</f>
        <v>0</v>
      </c>
      <c r="T162" s="16"/>
      <c r="U162" s="17"/>
      <c r="V162" s="18"/>
      <c r="X162" s="18"/>
    </row>
    <row r="163" spans="5:24" s="8" customFormat="1" ht="39.950000000000003" customHeight="1" x14ac:dyDescent="0.25">
      <c r="E163" s="9">
        <v>139</v>
      </c>
      <c r="F163" s="11" t="s">
        <v>319</v>
      </c>
      <c r="G163" s="19" t="s">
        <v>320</v>
      </c>
      <c r="H163" s="11" t="s">
        <v>25</v>
      </c>
      <c r="I163" s="11"/>
      <c r="J163" s="11"/>
      <c r="K163" s="13">
        <v>8909440001375</v>
      </c>
      <c r="L163" s="37">
        <v>47034</v>
      </c>
      <c r="M163" s="11" t="s">
        <v>21</v>
      </c>
      <c r="N163" s="11"/>
      <c r="O163" s="14">
        <v>612.31100000000004</v>
      </c>
      <c r="P163" s="15">
        <v>0.7</v>
      </c>
      <c r="Q163" s="39"/>
      <c r="R163" s="14">
        <f>O163*Q163</f>
        <v>0</v>
      </c>
      <c r="S163" s="15">
        <f>P163*Q163</f>
        <v>0</v>
      </c>
      <c r="T163" s="16"/>
      <c r="U163" s="17"/>
      <c r="V163" s="18"/>
      <c r="X163" s="18"/>
    </row>
    <row r="164" spans="5:24" s="8" customFormat="1" ht="39.950000000000003" customHeight="1" x14ac:dyDescent="0.25">
      <c r="E164" s="9">
        <v>140</v>
      </c>
      <c r="F164" s="11" t="s">
        <v>321</v>
      </c>
      <c r="G164" s="19" t="s">
        <v>322</v>
      </c>
      <c r="H164" s="11" t="s">
        <v>25</v>
      </c>
      <c r="I164" s="11"/>
      <c r="J164" s="11"/>
      <c r="K164" s="13">
        <v>8909440001399</v>
      </c>
      <c r="L164" s="37">
        <v>47183</v>
      </c>
      <c r="M164" s="11" t="s">
        <v>21</v>
      </c>
      <c r="N164" s="11"/>
      <c r="O164" s="14">
        <v>717.27859999999998</v>
      </c>
      <c r="P164" s="15">
        <v>0.82</v>
      </c>
      <c r="Q164" s="39"/>
      <c r="R164" s="14">
        <f>O164*Q164</f>
        <v>0</v>
      </c>
      <c r="S164" s="15">
        <f>P164*Q164</f>
        <v>0</v>
      </c>
      <c r="T164" s="16"/>
      <c r="U164" s="17"/>
      <c r="V164" s="18"/>
      <c r="X164" s="18"/>
    </row>
    <row r="165" spans="5:24" s="8" customFormat="1" ht="39.950000000000003" customHeight="1" x14ac:dyDescent="0.25">
      <c r="E165" s="9">
        <v>141</v>
      </c>
      <c r="F165" s="11" t="s">
        <v>323</v>
      </c>
      <c r="G165" s="19" t="s">
        <v>324</v>
      </c>
      <c r="H165" s="11" t="s">
        <v>20</v>
      </c>
      <c r="I165" s="11"/>
      <c r="J165" s="11"/>
      <c r="K165" s="13">
        <v>8909440001054</v>
      </c>
      <c r="L165" s="37">
        <v>47178</v>
      </c>
      <c r="M165" s="11" t="s">
        <v>58</v>
      </c>
      <c r="N165" s="11">
        <v>500</v>
      </c>
      <c r="O165" s="14">
        <v>1198.3801000000001</v>
      </c>
      <c r="P165" s="15">
        <v>1.37</v>
      </c>
      <c r="Q165" s="39"/>
      <c r="R165" s="14">
        <f>O165*Q165</f>
        <v>0</v>
      </c>
      <c r="S165" s="15">
        <f>P165*Q165</f>
        <v>0</v>
      </c>
      <c r="T165" s="16"/>
      <c r="U165" s="17"/>
      <c r="V165" s="18"/>
      <c r="X165" s="18"/>
    </row>
    <row r="166" spans="5:24" s="8" customFormat="1" ht="39.950000000000003" customHeight="1" x14ac:dyDescent="0.25">
      <c r="E166" s="9">
        <v>142</v>
      </c>
      <c r="F166" s="11" t="s">
        <v>325</v>
      </c>
      <c r="G166" s="19" t="s">
        <v>326</v>
      </c>
      <c r="H166" s="11" t="s">
        <v>20</v>
      </c>
      <c r="I166" s="11"/>
      <c r="J166" s="11"/>
      <c r="K166" s="13">
        <v>8909440001351</v>
      </c>
      <c r="L166" s="37">
        <v>47178</v>
      </c>
      <c r="M166" s="11" t="s">
        <v>58</v>
      </c>
      <c r="N166" s="11">
        <v>216</v>
      </c>
      <c r="O166" s="14">
        <v>2090.6046999999999</v>
      </c>
      <c r="P166" s="15">
        <v>2.39</v>
      </c>
      <c r="Q166" s="39"/>
      <c r="R166" s="14">
        <f>O166*Q166</f>
        <v>0</v>
      </c>
      <c r="S166" s="15">
        <f>P166*Q166</f>
        <v>0</v>
      </c>
      <c r="T166" s="16"/>
      <c r="U166" s="17"/>
      <c r="V166" s="18"/>
      <c r="X166" s="18"/>
    </row>
    <row r="167" spans="5:24" s="8" customFormat="1" ht="39.950000000000003" customHeight="1" x14ac:dyDescent="0.25">
      <c r="E167" s="9">
        <v>144</v>
      </c>
      <c r="F167" s="11" t="s">
        <v>329</v>
      </c>
      <c r="G167" s="19" t="s">
        <v>330</v>
      </c>
      <c r="H167" s="11" t="s">
        <v>20</v>
      </c>
      <c r="I167" s="11"/>
      <c r="J167" s="11"/>
      <c r="K167" s="13">
        <v>8902297024269</v>
      </c>
      <c r="L167" s="37">
        <v>46874</v>
      </c>
      <c r="M167" s="11" t="s">
        <v>21</v>
      </c>
      <c r="N167" s="11">
        <v>500</v>
      </c>
      <c r="O167" s="14">
        <v>1688.2289000000001</v>
      </c>
      <c r="P167" s="15">
        <v>1.93</v>
      </c>
      <c r="Q167" s="39"/>
      <c r="R167" s="14">
        <f>O167*Q167</f>
        <v>0</v>
      </c>
      <c r="S167" s="15">
        <f>P167*Q167</f>
        <v>0</v>
      </c>
      <c r="T167" s="16"/>
      <c r="U167" s="17"/>
      <c r="V167" s="18"/>
      <c r="X167" s="18"/>
    </row>
    <row r="168" spans="5:24" s="8" customFormat="1" ht="39.950000000000003" customHeight="1" x14ac:dyDescent="0.25">
      <c r="E168" s="9">
        <v>145</v>
      </c>
      <c r="F168" s="11" t="s">
        <v>331</v>
      </c>
      <c r="G168" s="19" t="s">
        <v>332</v>
      </c>
      <c r="H168" s="11" t="s">
        <v>20</v>
      </c>
      <c r="I168" s="11"/>
      <c r="J168" s="11"/>
      <c r="K168" s="13">
        <v>8906005118202</v>
      </c>
      <c r="L168" s="37">
        <v>46844</v>
      </c>
      <c r="M168" s="11" t="s">
        <v>55</v>
      </c>
      <c r="N168" s="11">
        <v>600</v>
      </c>
      <c r="O168" s="14">
        <v>883.47730000000001</v>
      </c>
      <c r="P168" s="15">
        <v>1.01</v>
      </c>
      <c r="Q168" s="39"/>
      <c r="R168" s="14">
        <f>O168*Q168</f>
        <v>0</v>
      </c>
      <c r="S168" s="15">
        <f>P168*Q168</f>
        <v>0</v>
      </c>
      <c r="T168" s="16"/>
      <c r="U168" s="17"/>
      <c r="V168" s="18"/>
      <c r="X168" s="18"/>
    </row>
    <row r="169" spans="5:24" s="8" customFormat="1" ht="39.950000000000003" customHeight="1" x14ac:dyDescent="0.25">
      <c r="E169" s="9">
        <v>146</v>
      </c>
      <c r="F169" s="11" t="s">
        <v>333</v>
      </c>
      <c r="G169" s="19" t="s">
        <v>334</v>
      </c>
      <c r="H169" s="11" t="s">
        <v>20</v>
      </c>
      <c r="I169" s="11"/>
      <c r="J169" s="11"/>
      <c r="K169" s="13">
        <v>8906044712331</v>
      </c>
      <c r="L169" s="37">
        <v>47209</v>
      </c>
      <c r="M169" s="11" t="s">
        <v>335</v>
      </c>
      <c r="N169" s="11">
        <v>216</v>
      </c>
      <c r="O169" s="14">
        <v>7443.9522999999999</v>
      </c>
      <c r="P169" s="15">
        <v>8.51</v>
      </c>
      <c r="Q169" s="39"/>
      <c r="R169" s="14">
        <f>O169*Q169</f>
        <v>0</v>
      </c>
      <c r="S169" s="15">
        <f>P169*Q169</f>
        <v>0</v>
      </c>
      <c r="T169" s="16"/>
      <c r="U169" s="17"/>
      <c r="V169" s="18"/>
      <c r="X169" s="18"/>
    </row>
    <row r="170" spans="5:24" s="8" customFormat="1" ht="39.950000000000003" customHeight="1" x14ac:dyDescent="0.25">
      <c r="E170" s="9">
        <v>149</v>
      </c>
      <c r="F170" s="11" t="s">
        <v>340</v>
      </c>
      <c r="G170" s="19" t="s">
        <v>341</v>
      </c>
      <c r="H170" s="11" t="s">
        <v>20</v>
      </c>
      <c r="I170" s="11"/>
      <c r="J170" s="11"/>
      <c r="K170" s="13">
        <v>8906044710870</v>
      </c>
      <c r="L170" s="37">
        <v>47209</v>
      </c>
      <c r="M170" s="11" t="s">
        <v>42</v>
      </c>
      <c r="N170" s="11">
        <v>216</v>
      </c>
      <c r="O170" s="14">
        <v>2755.3995</v>
      </c>
      <c r="P170" s="15">
        <v>3.15</v>
      </c>
      <c r="Q170" s="39"/>
      <c r="R170" s="14">
        <f>O170*Q170</f>
        <v>0</v>
      </c>
      <c r="S170" s="15">
        <f>P170*Q170</f>
        <v>0</v>
      </c>
      <c r="T170" s="16"/>
      <c r="U170" s="17"/>
      <c r="V170" s="18"/>
      <c r="X170" s="18"/>
    </row>
    <row r="171" spans="5:24" s="8" customFormat="1" ht="39.950000000000003" customHeight="1" x14ac:dyDescent="0.25">
      <c r="E171" s="9">
        <v>151</v>
      </c>
      <c r="F171" s="11" t="s">
        <v>344</v>
      </c>
      <c r="G171" s="19" t="s">
        <v>345</v>
      </c>
      <c r="H171" s="11" t="s">
        <v>20</v>
      </c>
      <c r="I171" s="11"/>
      <c r="J171" s="11"/>
      <c r="K171" s="13">
        <v>8906044710863</v>
      </c>
      <c r="L171" s="37">
        <v>47209</v>
      </c>
      <c r="M171" s="11" t="s">
        <v>42</v>
      </c>
      <c r="N171" s="11">
        <v>216</v>
      </c>
      <c r="O171" s="14">
        <v>1801.9438</v>
      </c>
      <c r="P171" s="15">
        <v>2.06</v>
      </c>
      <c r="Q171" s="39"/>
      <c r="R171" s="14">
        <f>O171*Q171</f>
        <v>0</v>
      </c>
      <c r="S171" s="15">
        <f>P171*Q171</f>
        <v>0</v>
      </c>
      <c r="T171" s="16"/>
      <c r="U171" s="17"/>
      <c r="V171" s="18"/>
      <c r="X171" s="18"/>
    </row>
    <row r="172" spans="5:24" s="8" customFormat="1" ht="39.950000000000003" customHeight="1" x14ac:dyDescent="0.25">
      <c r="E172" s="9">
        <v>152</v>
      </c>
      <c r="F172" s="11" t="s">
        <v>346</v>
      </c>
      <c r="G172" s="19" t="s">
        <v>347</v>
      </c>
      <c r="H172" s="11" t="s">
        <v>32</v>
      </c>
      <c r="I172" s="11"/>
      <c r="J172" s="11"/>
      <c r="K172" s="13">
        <v>8909440000910</v>
      </c>
      <c r="L172" s="37">
        <v>47028</v>
      </c>
      <c r="M172" s="11" t="s">
        <v>45</v>
      </c>
      <c r="N172" s="11"/>
      <c r="O172" s="14">
        <v>2965.3346999999999</v>
      </c>
      <c r="P172" s="15">
        <v>3.39</v>
      </c>
      <c r="Q172" s="39"/>
      <c r="R172" s="14">
        <f>O172*Q172</f>
        <v>0</v>
      </c>
      <c r="S172" s="15">
        <f>P172*Q172</f>
        <v>0</v>
      </c>
      <c r="T172" s="16"/>
      <c r="U172" s="17"/>
      <c r="V172" s="18"/>
      <c r="X172" s="18"/>
    </row>
    <row r="173" spans="5:24" s="8" customFormat="1" ht="39.950000000000003" customHeight="1" x14ac:dyDescent="0.25">
      <c r="E173" s="9">
        <v>153</v>
      </c>
      <c r="F173" s="11" t="s">
        <v>348</v>
      </c>
      <c r="G173" s="20" t="s">
        <v>349</v>
      </c>
      <c r="H173" s="11" t="s">
        <v>32</v>
      </c>
      <c r="I173" s="21" t="s">
        <v>68</v>
      </c>
      <c r="J173" s="11"/>
      <c r="K173" s="13">
        <v>6925881203613</v>
      </c>
      <c r="L173" s="37">
        <v>47150</v>
      </c>
      <c r="M173" s="11" t="s">
        <v>180</v>
      </c>
      <c r="N173" s="11">
        <v>80</v>
      </c>
      <c r="O173" s="14">
        <v>865.98270000000002</v>
      </c>
      <c r="P173" s="15">
        <v>0.99</v>
      </c>
      <c r="Q173" s="39"/>
      <c r="R173" s="14">
        <f>O173*Q173</f>
        <v>0</v>
      </c>
      <c r="S173" s="15">
        <f>P173*Q173</f>
        <v>0</v>
      </c>
      <c r="T173" s="16"/>
      <c r="U173" s="17"/>
      <c r="V173" s="18"/>
      <c r="X173" s="18"/>
    </row>
    <row r="174" spans="5:24" s="8" customFormat="1" ht="39.950000000000003" customHeight="1" x14ac:dyDescent="0.25">
      <c r="E174" s="9">
        <v>154</v>
      </c>
      <c r="F174" s="11" t="s">
        <v>350</v>
      </c>
      <c r="G174" s="19" t="s">
        <v>351</v>
      </c>
      <c r="H174" s="11" t="s">
        <v>32</v>
      </c>
      <c r="I174" s="11"/>
      <c r="J174" s="11"/>
      <c r="K174" s="13">
        <v>8909440000934</v>
      </c>
      <c r="L174" s="37">
        <v>47059</v>
      </c>
      <c r="M174" s="11" t="s">
        <v>45</v>
      </c>
      <c r="N174" s="11"/>
      <c r="O174" s="14">
        <v>3840.0646999999999</v>
      </c>
      <c r="P174" s="15">
        <v>4.3899999999999997</v>
      </c>
      <c r="Q174" s="39"/>
      <c r="R174" s="14">
        <f>O174*Q174</f>
        <v>0</v>
      </c>
      <c r="S174" s="15">
        <f>P174*Q174</f>
        <v>0</v>
      </c>
      <c r="T174" s="16"/>
      <c r="U174" s="17"/>
      <c r="V174" s="18"/>
      <c r="X174" s="18"/>
    </row>
    <row r="175" spans="5:24" s="8" customFormat="1" ht="39.950000000000003" customHeight="1" x14ac:dyDescent="0.25">
      <c r="E175" s="9">
        <v>155</v>
      </c>
      <c r="F175" s="11" t="s">
        <v>352</v>
      </c>
      <c r="G175" s="19" t="s">
        <v>353</v>
      </c>
      <c r="H175" s="11" t="s">
        <v>32</v>
      </c>
      <c r="I175" s="11"/>
      <c r="J175" s="11"/>
      <c r="K175" s="13">
        <v>8902297009686</v>
      </c>
      <c r="L175" s="37">
        <v>46874</v>
      </c>
      <c r="M175" s="11" t="s">
        <v>58</v>
      </c>
      <c r="N175" s="11">
        <v>2000</v>
      </c>
      <c r="O175" s="14">
        <v>830.99350000000004</v>
      </c>
      <c r="P175" s="15">
        <v>0.95</v>
      </c>
      <c r="Q175" s="39"/>
      <c r="R175" s="14">
        <f>O175*Q175</f>
        <v>0</v>
      </c>
      <c r="S175" s="15">
        <f>P175*Q175</f>
        <v>0</v>
      </c>
      <c r="T175" s="16"/>
      <c r="U175" s="17"/>
      <c r="V175" s="18"/>
      <c r="X175" s="18"/>
    </row>
    <row r="176" spans="5:24" s="8" customFormat="1" ht="39.950000000000003" customHeight="1" x14ac:dyDescent="0.25">
      <c r="E176" s="9">
        <v>156</v>
      </c>
      <c r="F176" s="11" t="s">
        <v>354</v>
      </c>
      <c r="G176" s="19" t="s">
        <v>355</v>
      </c>
      <c r="H176" s="11" t="s">
        <v>32</v>
      </c>
      <c r="I176" s="11"/>
      <c r="J176" s="11"/>
      <c r="K176" s="13">
        <v>8902297009693</v>
      </c>
      <c r="L176" s="37">
        <v>46874</v>
      </c>
      <c r="M176" s="11" t="s">
        <v>58</v>
      </c>
      <c r="N176" s="11">
        <v>2000</v>
      </c>
      <c r="O176" s="14">
        <v>1014.6867999999999</v>
      </c>
      <c r="P176" s="15">
        <v>1.1599999999999999</v>
      </c>
      <c r="Q176" s="39"/>
      <c r="R176" s="14">
        <f>O176*Q176</f>
        <v>0</v>
      </c>
      <c r="S176" s="15">
        <f>P176*Q176</f>
        <v>0</v>
      </c>
      <c r="T176" s="16"/>
      <c r="U176" s="17"/>
      <c r="V176" s="18"/>
      <c r="X176" s="18"/>
    </row>
    <row r="177" spans="5:24" s="8" customFormat="1" ht="39.950000000000003" customHeight="1" x14ac:dyDescent="0.25">
      <c r="E177" s="9">
        <v>157</v>
      </c>
      <c r="F177" s="11" t="s">
        <v>356</v>
      </c>
      <c r="G177" s="19" t="s">
        <v>357</v>
      </c>
      <c r="H177" s="11" t="s">
        <v>25</v>
      </c>
      <c r="I177" s="11"/>
      <c r="J177" s="11"/>
      <c r="K177" s="13">
        <v>8909440001825</v>
      </c>
      <c r="L177" s="37">
        <v>47179</v>
      </c>
      <c r="M177" s="11" t="s">
        <v>48</v>
      </c>
      <c r="N177" s="11"/>
      <c r="O177" s="14">
        <v>865.98270000000002</v>
      </c>
      <c r="P177" s="15">
        <v>0.99</v>
      </c>
      <c r="Q177" s="39"/>
      <c r="R177" s="14">
        <f>O177*Q177</f>
        <v>0</v>
      </c>
      <c r="S177" s="15">
        <f>P177*Q177</f>
        <v>0</v>
      </c>
      <c r="T177" s="16"/>
      <c r="U177" s="17"/>
      <c r="V177" s="18"/>
      <c r="X177" s="18"/>
    </row>
    <row r="178" spans="5:24" s="8" customFormat="1" ht="39.950000000000003" customHeight="1" x14ac:dyDescent="0.25">
      <c r="E178" s="9">
        <v>159</v>
      </c>
      <c r="F178" s="11" t="s">
        <v>360</v>
      </c>
      <c r="G178" s="19" t="s">
        <v>361</v>
      </c>
      <c r="H178" s="11" t="s">
        <v>25</v>
      </c>
      <c r="I178" s="11"/>
      <c r="J178" s="11"/>
      <c r="K178" s="13">
        <v>8901872009073</v>
      </c>
      <c r="L178" s="37">
        <v>47179</v>
      </c>
      <c r="M178" s="11" t="s">
        <v>116</v>
      </c>
      <c r="N178" s="11"/>
      <c r="O178" s="14">
        <v>384.88119999999998</v>
      </c>
      <c r="P178" s="15">
        <v>0.44</v>
      </c>
      <c r="Q178" s="39"/>
      <c r="R178" s="14">
        <f>O178*Q178</f>
        <v>0</v>
      </c>
      <c r="S178" s="15">
        <f>P178*Q178</f>
        <v>0</v>
      </c>
      <c r="T178" s="16"/>
      <c r="U178" s="17"/>
      <c r="V178" s="18"/>
      <c r="X178" s="18"/>
    </row>
    <row r="179" spans="5:24" s="8" customFormat="1" ht="39.950000000000003" customHeight="1" x14ac:dyDescent="0.25">
      <c r="E179" s="9">
        <v>160</v>
      </c>
      <c r="F179" s="11" t="s">
        <v>362</v>
      </c>
      <c r="G179" s="19" t="s">
        <v>363</v>
      </c>
      <c r="H179" s="11" t="s">
        <v>32</v>
      </c>
      <c r="I179" s="11"/>
      <c r="J179" s="11"/>
      <c r="K179" s="13">
        <v>8902297021855</v>
      </c>
      <c r="L179" s="37">
        <v>47059</v>
      </c>
      <c r="M179" s="11" t="s">
        <v>116</v>
      </c>
      <c r="N179" s="11"/>
      <c r="O179" s="14">
        <v>1198.3801000000001</v>
      </c>
      <c r="P179" s="15">
        <v>1.37</v>
      </c>
      <c r="Q179" s="39"/>
      <c r="R179" s="14">
        <f>O179*Q179</f>
        <v>0</v>
      </c>
      <c r="S179" s="15">
        <f>P179*Q179</f>
        <v>0</v>
      </c>
      <c r="T179" s="16"/>
      <c r="U179" s="17"/>
      <c r="V179" s="18"/>
      <c r="X179" s="18"/>
    </row>
    <row r="180" spans="5:24" s="8" customFormat="1" ht="39.950000000000003" customHeight="1" x14ac:dyDescent="0.25">
      <c r="E180" s="9">
        <v>161</v>
      </c>
      <c r="F180" s="11" t="s">
        <v>364</v>
      </c>
      <c r="G180" s="19" t="s">
        <v>365</v>
      </c>
      <c r="H180" s="11" t="s">
        <v>25</v>
      </c>
      <c r="I180" s="11"/>
      <c r="J180" s="11"/>
      <c r="K180" s="13">
        <v>8906005117816</v>
      </c>
      <c r="L180" s="37">
        <v>46938</v>
      </c>
      <c r="M180" s="11" t="s">
        <v>58</v>
      </c>
      <c r="N180" s="11">
        <v>2500</v>
      </c>
      <c r="O180" s="14">
        <v>664.79480000000001</v>
      </c>
      <c r="P180" s="15">
        <v>0.76</v>
      </c>
      <c r="Q180" s="39"/>
      <c r="R180" s="14">
        <f>O180*Q180</f>
        <v>0</v>
      </c>
      <c r="S180" s="15">
        <f>P180*Q180</f>
        <v>0</v>
      </c>
      <c r="T180" s="16"/>
      <c r="U180" s="17"/>
      <c r="V180" s="18"/>
      <c r="X180" s="18"/>
    </row>
    <row r="181" spans="5:24" s="8" customFormat="1" ht="39.950000000000003" customHeight="1" x14ac:dyDescent="0.25">
      <c r="E181" s="9">
        <v>162</v>
      </c>
      <c r="F181" s="11" t="s">
        <v>366</v>
      </c>
      <c r="G181" s="19" t="s">
        <v>367</v>
      </c>
      <c r="H181" s="11" t="s">
        <v>25</v>
      </c>
      <c r="I181" s="11"/>
      <c r="J181" s="11"/>
      <c r="K181" s="13">
        <v>8902297022333</v>
      </c>
      <c r="L181" s="37">
        <v>47027</v>
      </c>
      <c r="M181" s="11" t="s">
        <v>21</v>
      </c>
      <c r="N181" s="11">
        <v>1000</v>
      </c>
      <c r="O181" s="14">
        <v>551.07989999999995</v>
      </c>
      <c r="P181" s="15">
        <v>0.63</v>
      </c>
      <c r="Q181" s="39"/>
      <c r="R181" s="14">
        <f>O181*Q181</f>
        <v>0</v>
      </c>
      <c r="S181" s="15">
        <f>P181*Q181</f>
        <v>0</v>
      </c>
      <c r="T181" s="16"/>
      <c r="U181" s="17"/>
      <c r="V181" s="18"/>
      <c r="X181" s="18"/>
    </row>
    <row r="182" spans="5:24" s="8" customFormat="1" ht="39.950000000000003" customHeight="1" x14ac:dyDescent="0.25">
      <c r="E182" s="9">
        <v>163</v>
      </c>
      <c r="F182" s="11" t="s">
        <v>368</v>
      </c>
      <c r="G182" s="19" t="s">
        <v>369</v>
      </c>
      <c r="H182" s="11" t="s">
        <v>20</v>
      </c>
      <c r="I182" s="11"/>
      <c r="J182" s="11"/>
      <c r="K182" s="13">
        <v>6916119062614</v>
      </c>
      <c r="L182" s="37">
        <v>47209</v>
      </c>
      <c r="M182" s="11" t="s">
        <v>180</v>
      </c>
      <c r="N182" s="11"/>
      <c r="O182" s="14">
        <v>5642.0084999999999</v>
      </c>
      <c r="P182" s="15">
        <v>6.45</v>
      </c>
      <c r="Q182" s="39"/>
      <c r="R182" s="14">
        <f>O182*Q182</f>
        <v>0</v>
      </c>
      <c r="S182" s="15">
        <f>P182*Q182</f>
        <v>0</v>
      </c>
      <c r="T182" s="16"/>
      <c r="U182" s="17"/>
      <c r="V182" s="18"/>
      <c r="X182" s="18"/>
    </row>
    <row r="183" spans="5:24" s="8" customFormat="1" ht="39.950000000000003" customHeight="1" x14ac:dyDescent="0.25">
      <c r="E183" s="9">
        <v>164</v>
      </c>
      <c r="F183" s="11" t="s">
        <v>370</v>
      </c>
      <c r="G183" s="19" t="s">
        <v>371</v>
      </c>
      <c r="H183" s="11" t="s">
        <v>25</v>
      </c>
      <c r="I183" s="11"/>
      <c r="J183" s="11"/>
      <c r="K183" s="13">
        <v>6916119062102</v>
      </c>
      <c r="L183" s="37">
        <v>47182</v>
      </c>
      <c r="M183" s="11" t="s">
        <v>58</v>
      </c>
      <c r="N183" s="11"/>
      <c r="O183" s="14">
        <v>411.12310000000002</v>
      </c>
      <c r="P183" s="15">
        <v>0.47</v>
      </c>
      <c r="Q183" s="39"/>
      <c r="R183" s="14">
        <f>O183*Q183</f>
        <v>0</v>
      </c>
      <c r="S183" s="15">
        <f>P183*Q183</f>
        <v>0</v>
      </c>
      <c r="T183" s="16"/>
      <c r="U183" s="17"/>
      <c r="V183" s="18"/>
      <c r="X183" s="18"/>
    </row>
    <row r="184" spans="5:24" s="8" customFormat="1" ht="39.950000000000003" customHeight="1" x14ac:dyDescent="0.25">
      <c r="E184" s="9">
        <v>165</v>
      </c>
      <c r="F184" s="11" t="s">
        <v>372</v>
      </c>
      <c r="G184" s="19" t="s">
        <v>373</v>
      </c>
      <c r="H184" s="11" t="s">
        <v>32</v>
      </c>
      <c r="I184" s="11"/>
      <c r="J184" s="11"/>
      <c r="K184" s="13">
        <v>6916119062416</v>
      </c>
      <c r="L184" s="37">
        <v>47179</v>
      </c>
      <c r="M184" s="11" t="s">
        <v>58</v>
      </c>
      <c r="N184" s="11"/>
      <c r="O184" s="14">
        <v>918.4665</v>
      </c>
      <c r="P184" s="15">
        <v>1.05</v>
      </c>
      <c r="Q184" s="39"/>
      <c r="R184" s="14">
        <f>O184*Q184</f>
        <v>0</v>
      </c>
      <c r="S184" s="15">
        <f>P184*Q184</f>
        <v>0</v>
      </c>
      <c r="T184" s="16"/>
      <c r="U184" s="17"/>
      <c r="V184" s="18"/>
      <c r="X184" s="18"/>
    </row>
    <row r="185" spans="5:24" s="8" customFormat="1" ht="39.950000000000003" customHeight="1" x14ac:dyDescent="0.25">
      <c r="E185" s="9">
        <v>166</v>
      </c>
      <c r="F185" s="11" t="s">
        <v>374</v>
      </c>
      <c r="G185" s="19" t="s">
        <v>375</v>
      </c>
      <c r="H185" s="11" t="s">
        <v>20</v>
      </c>
      <c r="I185" s="11"/>
      <c r="J185" s="11"/>
      <c r="K185" s="13">
        <v>6916119062478</v>
      </c>
      <c r="L185" s="37">
        <v>46905</v>
      </c>
      <c r="M185" s="11" t="s">
        <v>58</v>
      </c>
      <c r="N185" s="11">
        <v>216</v>
      </c>
      <c r="O185" s="14">
        <v>1198.3801000000001</v>
      </c>
      <c r="P185" s="15">
        <v>1.37</v>
      </c>
      <c r="Q185" s="39"/>
      <c r="R185" s="14">
        <f>O185*Q185</f>
        <v>0</v>
      </c>
      <c r="S185" s="15">
        <f>P185*Q185</f>
        <v>0</v>
      </c>
      <c r="T185" s="16"/>
      <c r="U185" s="17"/>
      <c r="V185" s="18"/>
      <c r="X185" s="18"/>
    </row>
    <row r="186" spans="5:24" s="8" customFormat="1" ht="39.950000000000003" customHeight="1" x14ac:dyDescent="0.25">
      <c r="E186" s="9">
        <v>167</v>
      </c>
      <c r="F186" s="11" t="s">
        <v>376</v>
      </c>
      <c r="G186" s="19" t="s">
        <v>377</v>
      </c>
      <c r="H186" s="11" t="s">
        <v>25</v>
      </c>
      <c r="I186" s="11"/>
      <c r="J186" s="11"/>
      <c r="K186" s="13">
        <v>6916119062133</v>
      </c>
      <c r="L186" s="37">
        <v>47180</v>
      </c>
      <c r="M186" s="11" t="s">
        <v>58</v>
      </c>
      <c r="N186" s="11">
        <v>1000</v>
      </c>
      <c r="O186" s="14">
        <v>419.87040000000002</v>
      </c>
      <c r="P186" s="15">
        <v>0.48</v>
      </c>
      <c r="Q186" s="39"/>
      <c r="R186" s="14">
        <f>O186*Q186</f>
        <v>0</v>
      </c>
      <c r="S186" s="15">
        <f>P186*Q186</f>
        <v>0</v>
      </c>
      <c r="T186" s="16"/>
      <c r="U186" s="17"/>
      <c r="V186" s="18"/>
      <c r="X186" s="18"/>
    </row>
    <row r="187" spans="5:24" s="8" customFormat="1" ht="39.950000000000003" customHeight="1" x14ac:dyDescent="0.25">
      <c r="E187" s="9">
        <v>168</v>
      </c>
      <c r="F187" s="11" t="s">
        <v>378</v>
      </c>
      <c r="G187" s="19" t="s">
        <v>379</v>
      </c>
      <c r="H187" s="11" t="s">
        <v>32</v>
      </c>
      <c r="I187" s="11"/>
      <c r="J187" s="11"/>
      <c r="K187" s="13">
        <v>8902297023941</v>
      </c>
      <c r="L187" s="37">
        <v>46663</v>
      </c>
      <c r="M187" s="11" t="s">
        <v>55</v>
      </c>
      <c r="N187" s="11">
        <v>1000</v>
      </c>
      <c r="O187" s="14">
        <v>472.35419999999999</v>
      </c>
      <c r="P187" s="15">
        <v>0.54</v>
      </c>
      <c r="Q187" s="39"/>
      <c r="R187" s="14">
        <f>O187*Q187</f>
        <v>0</v>
      </c>
      <c r="S187" s="15">
        <f>P187*Q187</f>
        <v>0</v>
      </c>
      <c r="T187" s="16"/>
      <c r="U187" s="17"/>
      <c r="V187" s="18"/>
      <c r="X187" s="18"/>
    </row>
    <row r="188" spans="5:24" s="8" customFormat="1" ht="39.950000000000003" customHeight="1" x14ac:dyDescent="0.25">
      <c r="E188" s="9">
        <v>169</v>
      </c>
      <c r="F188" s="11" t="s">
        <v>380</v>
      </c>
      <c r="G188" s="19" t="s">
        <v>381</v>
      </c>
      <c r="H188" s="11" t="s">
        <v>20</v>
      </c>
      <c r="I188" s="11"/>
      <c r="J188" s="11"/>
      <c r="K188" s="13">
        <v>6916119062065</v>
      </c>
      <c r="L188" s="37">
        <v>47270</v>
      </c>
      <c r="M188" s="11" t="s">
        <v>45</v>
      </c>
      <c r="N188" s="11">
        <v>216</v>
      </c>
      <c r="O188" s="14">
        <v>437.36500000000001</v>
      </c>
      <c r="P188" s="15">
        <v>0.5</v>
      </c>
      <c r="Q188" s="39"/>
      <c r="R188" s="14">
        <f>O188*Q188</f>
        <v>0</v>
      </c>
      <c r="S188" s="15">
        <f>P188*Q188</f>
        <v>0</v>
      </c>
      <c r="T188" s="16"/>
      <c r="U188" s="17"/>
      <c r="V188" s="18"/>
      <c r="X188" s="18"/>
    </row>
    <row r="189" spans="5:24" s="8" customFormat="1" ht="39.950000000000003" customHeight="1" x14ac:dyDescent="0.25">
      <c r="E189" s="9">
        <v>170</v>
      </c>
      <c r="F189" s="11" t="s">
        <v>382</v>
      </c>
      <c r="G189" s="19" t="s">
        <v>383</v>
      </c>
      <c r="H189" s="11" t="s">
        <v>25</v>
      </c>
      <c r="I189" s="11"/>
      <c r="J189" s="11"/>
      <c r="K189" s="13">
        <v>8906044710801</v>
      </c>
      <c r="L189" s="37">
        <v>47178</v>
      </c>
      <c r="M189" s="11" t="s">
        <v>45</v>
      </c>
      <c r="N189" s="11"/>
      <c r="O189" s="14">
        <v>970.95029999999997</v>
      </c>
      <c r="P189" s="15">
        <v>1.1100000000000001</v>
      </c>
      <c r="Q189" s="39"/>
      <c r="R189" s="14">
        <f>O189*Q189</f>
        <v>0</v>
      </c>
      <c r="S189" s="15">
        <f>P189*Q189</f>
        <v>0</v>
      </c>
      <c r="T189" s="16"/>
      <c r="U189" s="17"/>
      <c r="V189" s="18"/>
      <c r="X189" s="18"/>
    </row>
    <row r="190" spans="5:24" s="8" customFormat="1" ht="39.950000000000003" customHeight="1" x14ac:dyDescent="0.25">
      <c r="E190" s="9">
        <v>171</v>
      </c>
      <c r="F190" s="11" t="s">
        <v>384</v>
      </c>
      <c r="G190" s="19" t="s">
        <v>385</v>
      </c>
      <c r="H190" s="11" t="s">
        <v>20</v>
      </c>
      <c r="I190" s="11"/>
      <c r="J190" s="11"/>
      <c r="K190" s="13">
        <v>8902297024115</v>
      </c>
      <c r="L190" s="37">
        <v>47150</v>
      </c>
      <c r="M190" s="11" t="s">
        <v>45</v>
      </c>
      <c r="N190" s="11">
        <v>300</v>
      </c>
      <c r="O190" s="14">
        <v>3035.3130999999998</v>
      </c>
      <c r="P190" s="15">
        <v>3.47</v>
      </c>
      <c r="Q190" s="39"/>
      <c r="R190" s="14">
        <f>O190*Q190</f>
        <v>0</v>
      </c>
      <c r="S190" s="15">
        <f>P190*Q190</f>
        <v>0</v>
      </c>
      <c r="T190" s="16"/>
      <c r="U190" s="17"/>
      <c r="V190" s="18"/>
      <c r="X190" s="18"/>
    </row>
    <row r="191" spans="5:24" s="8" customFormat="1" ht="39.950000000000003" customHeight="1" x14ac:dyDescent="0.25">
      <c r="E191" s="9">
        <v>172</v>
      </c>
      <c r="F191" s="11" t="s">
        <v>386</v>
      </c>
      <c r="G191" s="19" t="s">
        <v>387</v>
      </c>
      <c r="H191" s="11" t="s">
        <v>32</v>
      </c>
      <c r="I191" s="11"/>
      <c r="J191" s="11"/>
      <c r="K191" s="13">
        <v>8909440000729</v>
      </c>
      <c r="L191" s="37">
        <v>46633</v>
      </c>
      <c r="M191" s="11" t="s">
        <v>65</v>
      </c>
      <c r="N191" s="11">
        <v>960</v>
      </c>
      <c r="O191" s="14">
        <v>1023.4340999999999</v>
      </c>
      <c r="P191" s="15">
        <v>1.17</v>
      </c>
      <c r="Q191" s="39"/>
      <c r="R191" s="14">
        <f>O191*Q191</f>
        <v>0</v>
      </c>
      <c r="S191" s="15">
        <f>P191*Q191</f>
        <v>0</v>
      </c>
      <c r="T191" s="16"/>
      <c r="U191" s="17"/>
      <c r="V191" s="18"/>
      <c r="X191" s="18"/>
    </row>
    <row r="192" spans="5:24" s="8" customFormat="1" ht="39.950000000000003" customHeight="1" x14ac:dyDescent="0.25">
      <c r="E192" s="9">
        <v>173</v>
      </c>
      <c r="F192" s="11" t="s">
        <v>388</v>
      </c>
      <c r="G192" s="19" t="s">
        <v>389</v>
      </c>
      <c r="H192" s="11" t="s">
        <v>25</v>
      </c>
      <c r="I192" s="11"/>
      <c r="J192" s="11"/>
      <c r="K192" s="13">
        <v>8908020242719</v>
      </c>
      <c r="L192" s="37">
        <v>46665</v>
      </c>
      <c r="M192" s="11" t="s">
        <v>35</v>
      </c>
      <c r="N192" s="11">
        <v>1000</v>
      </c>
      <c r="O192" s="14">
        <v>603.56370000000004</v>
      </c>
      <c r="P192" s="15">
        <v>0.69</v>
      </c>
      <c r="Q192" s="39"/>
      <c r="R192" s="14">
        <f>O192*Q192</f>
        <v>0</v>
      </c>
      <c r="S192" s="15">
        <f>P192*Q192</f>
        <v>0</v>
      </c>
      <c r="T192" s="16"/>
      <c r="U192" s="17"/>
      <c r="V192" s="18"/>
      <c r="X192" s="18"/>
    </row>
    <row r="193" spans="5:24" s="8" customFormat="1" ht="39.950000000000003" customHeight="1" x14ac:dyDescent="0.25">
      <c r="E193" s="9">
        <v>174</v>
      </c>
      <c r="F193" s="11" t="s">
        <v>390</v>
      </c>
      <c r="G193" s="19" t="s">
        <v>391</v>
      </c>
      <c r="H193" s="11" t="s">
        <v>25</v>
      </c>
      <c r="I193" s="11"/>
      <c r="J193" s="11"/>
      <c r="K193" s="13">
        <v>6916119062096</v>
      </c>
      <c r="L193" s="37">
        <v>47178</v>
      </c>
      <c r="M193" s="11" t="s">
        <v>21</v>
      </c>
      <c r="N193" s="11">
        <v>1000</v>
      </c>
      <c r="O193" s="14">
        <v>1539.5247999999999</v>
      </c>
      <c r="P193" s="15">
        <v>1.76</v>
      </c>
      <c r="Q193" s="39"/>
      <c r="R193" s="14">
        <f>O193*Q193</f>
        <v>0</v>
      </c>
      <c r="S193" s="15">
        <f>P193*Q193</f>
        <v>0</v>
      </c>
      <c r="T193" s="16"/>
      <c r="U193" s="17"/>
      <c r="V193" s="18"/>
      <c r="X193" s="18"/>
    </row>
    <row r="194" spans="5:24" s="8" customFormat="1" ht="39.950000000000003" customHeight="1" x14ac:dyDescent="0.25">
      <c r="E194" s="9">
        <v>175</v>
      </c>
      <c r="F194" s="11" t="s">
        <v>392</v>
      </c>
      <c r="G194" s="19" t="s">
        <v>393</v>
      </c>
      <c r="H194" s="11" t="s">
        <v>25</v>
      </c>
      <c r="I194" s="11"/>
      <c r="J194" s="11"/>
      <c r="K194" s="13">
        <v>8901463195499</v>
      </c>
      <c r="L194" s="37">
        <v>47088</v>
      </c>
      <c r="M194" s="11" t="s">
        <v>312</v>
      </c>
      <c r="N194" s="11"/>
      <c r="O194" s="14">
        <v>874.73</v>
      </c>
      <c r="P194" s="15">
        <v>1</v>
      </c>
      <c r="Q194" s="39"/>
      <c r="R194" s="14">
        <f>O194*Q194</f>
        <v>0</v>
      </c>
      <c r="S194" s="15">
        <f>P194*Q194</f>
        <v>0</v>
      </c>
      <c r="T194" s="16"/>
      <c r="U194" s="17"/>
      <c r="V194" s="18"/>
      <c r="X194" s="18"/>
    </row>
    <row r="195" spans="5:24" s="8" customFormat="1" ht="39.950000000000003" customHeight="1" x14ac:dyDescent="0.25">
      <c r="E195" s="9">
        <v>176</v>
      </c>
      <c r="F195" s="11" t="s">
        <v>394</v>
      </c>
      <c r="G195" s="19" t="s">
        <v>395</v>
      </c>
      <c r="H195" s="11" t="s">
        <v>20</v>
      </c>
      <c r="I195" s="11"/>
      <c r="J195" s="11"/>
      <c r="K195" s="13">
        <v>8906188190200</v>
      </c>
      <c r="L195" s="37">
        <v>46692</v>
      </c>
      <c r="M195" s="11" t="s">
        <v>21</v>
      </c>
      <c r="N195" s="11">
        <v>300</v>
      </c>
      <c r="O195" s="14">
        <v>909.7192</v>
      </c>
      <c r="P195" s="15">
        <v>1.04</v>
      </c>
      <c r="Q195" s="39"/>
      <c r="R195" s="14">
        <f>O195*Q195</f>
        <v>0</v>
      </c>
      <c r="S195" s="15">
        <f>P195*Q195</f>
        <v>0</v>
      </c>
      <c r="T195" s="16"/>
      <c r="U195" s="17"/>
      <c r="V195" s="18"/>
      <c r="X195" s="18"/>
    </row>
    <row r="196" spans="5:24" s="8" customFormat="1" ht="39.950000000000003" customHeight="1" x14ac:dyDescent="0.25">
      <c r="E196" s="9">
        <v>177</v>
      </c>
      <c r="F196" s="11" t="s">
        <v>396</v>
      </c>
      <c r="G196" s="19" t="s">
        <v>397</v>
      </c>
      <c r="H196" s="11" t="s">
        <v>25</v>
      </c>
      <c r="I196" s="11"/>
      <c r="J196" s="11"/>
      <c r="K196" s="13">
        <v>8901463195512</v>
      </c>
      <c r="L196" s="37">
        <v>46723</v>
      </c>
      <c r="M196" s="11" t="s">
        <v>58</v>
      </c>
      <c r="N196" s="11"/>
      <c r="O196" s="14">
        <v>2265.5506999999998</v>
      </c>
      <c r="P196" s="15">
        <v>2.59</v>
      </c>
      <c r="Q196" s="39"/>
      <c r="R196" s="14">
        <f>O196*Q196</f>
        <v>0</v>
      </c>
      <c r="S196" s="15">
        <f>P196*Q196</f>
        <v>0</v>
      </c>
      <c r="T196" s="16"/>
      <c r="U196" s="17"/>
      <c r="V196" s="18"/>
      <c r="X196" s="18"/>
    </row>
    <row r="197" spans="5:24" s="8" customFormat="1" ht="39.950000000000003" customHeight="1" x14ac:dyDescent="0.25">
      <c r="E197" s="9">
        <v>178</v>
      </c>
      <c r="F197" s="11" t="s">
        <v>398</v>
      </c>
      <c r="G197" s="19" t="s">
        <v>399</v>
      </c>
      <c r="H197" s="11" t="s">
        <v>25</v>
      </c>
      <c r="I197" s="11"/>
      <c r="J197" s="11"/>
      <c r="K197" s="13">
        <v>8909440000996</v>
      </c>
      <c r="L197" s="37">
        <v>47060</v>
      </c>
      <c r="M197" s="11" t="s">
        <v>58</v>
      </c>
      <c r="N197" s="11"/>
      <c r="O197" s="14">
        <v>288.66090000000003</v>
      </c>
      <c r="P197" s="15">
        <v>0.33</v>
      </c>
      <c r="Q197" s="39"/>
      <c r="R197" s="14">
        <f>O197*Q197</f>
        <v>0</v>
      </c>
      <c r="S197" s="15">
        <f>P197*Q197</f>
        <v>0</v>
      </c>
      <c r="T197" s="16"/>
      <c r="U197" s="17"/>
      <c r="V197" s="18"/>
      <c r="X197" s="18"/>
    </row>
    <row r="198" spans="5:24" s="8" customFormat="1" ht="39.950000000000003" customHeight="1" x14ac:dyDescent="0.25">
      <c r="E198" s="9">
        <v>179</v>
      </c>
      <c r="F198" s="11" t="s">
        <v>400</v>
      </c>
      <c r="G198" s="19" t="s">
        <v>401</v>
      </c>
      <c r="H198" s="11" t="s">
        <v>20</v>
      </c>
      <c r="I198" s="11"/>
      <c r="J198" s="11"/>
      <c r="K198" s="13">
        <v>8906001552161</v>
      </c>
      <c r="L198" s="37">
        <v>46419</v>
      </c>
      <c r="M198" s="11" t="s">
        <v>190</v>
      </c>
      <c r="N198" s="11">
        <v>360</v>
      </c>
      <c r="O198" s="14">
        <v>1740.7127</v>
      </c>
      <c r="P198" s="15">
        <v>1.99</v>
      </c>
      <c r="Q198" s="39"/>
      <c r="R198" s="14">
        <f>O198*Q198</f>
        <v>0</v>
      </c>
      <c r="S198" s="15">
        <f>P198*Q198</f>
        <v>0</v>
      </c>
      <c r="T198" s="16"/>
      <c r="U198" s="17"/>
      <c r="V198" s="18"/>
      <c r="X198" s="18"/>
    </row>
    <row r="199" spans="5:24" s="8" customFormat="1" ht="39.950000000000003" customHeight="1" x14ac:dyDescent="0.25">
      <c r="E199" s="9">
        <v>180</v>
      </c>
      <c r="F199" s="11" t="s">
        <v>402</v>
      </c>
      <c r="G199" s="19" t="s">
        <v>403</v>
      </c>
      <c r="H199" s="11" t="s">
        <v>20</v>
      </c>
      <c r="I199" s="11"/>
      <c r="J199" s="11"/>
      <c r="K199" s="13">
        <v>8906188190248</v>
      </c>
      <c r="L199" s="37">
        <v>46661</v>
      </c>
      <c r="M199" s="11" t="s">
        <v>190</v>
      </c>
      <c r="N199" s="11">
        <v>200</v>
      </c>
      <c r="O199" s="14">
        <v>2580.4535000000001</v>
      </c>
      <c r="P199" s="15">
        <v>2.95</v>
      </c>
      <c r="Q199" s="39"/>
      <c r="R199" s="14">
        <f>O199*Q199</f>
        <v>0</v>
      </c>
      <c r="S199" s="15">
        <f>P199*Q199</f>
        <v>0</v>
      </c>
      <c r="T199" s="16"/>
      <c r="U199" s="17"/>
      <c r="V199" s="18"/>
      <c r="X199" s="18"/>
    </row>
    <row r="200" spans="5:24" s="8" customFormat="1" ht="39.950000000000003" customHeight="1" x14ac:dyDescent="0.25">
      <c r="E200" s="9">
        <v>181</v>
      </c>
      <c r="F200" s="11" t="s">
        <v>404</v>
      </c>
      <c r="G200" s="19" t="s">
        <v>405</v>
      </c>
      <c r="H200" s="11" t="s">
        <v>20</v>
      </c>
      <c r="I200" s="11"/>
      <c r="J200" s="11"/>
      <c r="K200" s="13">
        <v>8906188190552</v>
      </c>
      <c r="L200" s="37">
        <v>47014</v>
      </c>
      <c r="M200" s="11" t="s">
        <v>312</v>
      </c>
      <c r="N200" s="11">
        <v>90</v>
      </c>
      <c r="O200" s="14">
        <v>2842.8724999999999</v>
      </c>
      <c r="P200" s="15">
        <v>3.25</v>
      </c>
      <c r="Q200" s="39"/>
      <c r="R200" s="14">
        <f>O200*Q200</f>
        <v>0</v>
      </c>
      <c r="S200" s="15">
        <f>P200*Q200</f>
        <v>0</v>
      </c>
      <c r="T200" s="16"/>
      <c r="U200" s="17"/>
      <c r="V200" s="18"/>
      <c r="X200" s="18"/>
    </row>
    <row r="201" spans="5:24" s="8" customFormat="1" ht="39.950000000000003" customHeight="1" x14ac:dyDescent="0.25">
      <c r="E201" s="9">
        <v>182</v>
      </c>
      <c r="F201" s="11" t="s">
        <v>406</v>
      </c>
      <c r="G201" s="19" t="s">
        <v>407</v>
      </c>
      <c r="H201" s="11" t="s">
        <v>20</v>
      </c>
      <c r="I201" s="11"/>
      <c r="J201" s="11"/>
      <c r="K201" s="13">
        <v>8902297022678</v>
      </c>
      <c r="L201" s="37">
        <v>47178</v>
      </c>
      <c r="M201" s="11" t="s">
        <v>45</v>
      </c>
      <c r="N201" s="11">
        <v>216</v>
      </c>
      <c r="O201" s="14">
        <v>1137.1489999999999</v>
      </c>
      <c r="P201" s="15">
        <v>1.3</v>
      </c>
      <c r="Q201" s="39"/>
      <c r="R201" s="14">
        <f>O201*Q201</f>
        <v>0</v>
      </c>
      <c r="S201" s="15">
        <f>P201*Q201</f>
        <v>0</v>
      </c>
      <c r="T201" s="16"/>
      <c r="U201" s="17"/>
      <c r="V201" s="18"/>
      <c r="X201" s="18"/>
    </row>
    <row r="202" spans="5:24" s="8" customFormat="1" ht="39.950000000000003" customHeight="1" x14ac:dyDescent="0.25">
      <c r="E202" s="9">
        <v>183</v>
      </c>
      <c r="F202" s="11" t="s">
        <v>408</v>
      </c>
      <c r="G202" s="19" t="s">
        <v>409</v>
      </c>
      <c r="H202" s="11" t="s">
        <v>20</v>
      </c>
      <c r="I202" s="11"/>
      <c r="J202" s="11"/>
      <c r="K202" s="13">
        <v>8902297022586</v>
      </c>
      <c r="L202" s="37">
        <v>47209</v>
      </c>
      <c r="M202" s="11" t="s">
        <v>45</v>
      </c>
      <c r="N202" s="11">
        <v>216</v>
      </c>
      <c r="O202" s="14">
        <v>865.98270000000002</v>
      </c>
      <c r="P202" s="15">
        <v>0.99</v>
      </c>
      <c r="Q202" s="39"/>
      <c r="R202" s="14">
        <f>O202*Q202</f>
        <v>0</v>
      </c>
      <c r="S202" s="15">
        <f>P202*Q202</f>
        <v>0</v>
      </c>
      <c r="T202" s="16"/>
      <c r="U202" s="17"/>
      <c r="V202" s="18"/>
      <c r="X202" s="18"/>
    </row>
    <row r="203" spans="5:24" s="8" customFormat="1" ht="39.950000000000003" customHeight="1" x14ac:dyDescent="0.25">
      <c r="E203" s="9">
        <v>184</v>
      </c>
      <c r="F203" s="11" t="s">
        <v>410</v>
      </c>
      <c r="G203" s="19" t="s">
        <v>411</v>
      </c>
      <c r="H203" s="11" t="s">
        <v>20</v>
      </c>
      <c r="I203" s="11"/>
      <c r="J203" s="11"/>
      <c r="K203" s="13">
        <v>8902297124204</v>
      </c>
      <c r="L203" s="37">
        <v>46784</v>
      </c>
      <c r="M203" s="11" t="s">
        <v>42</v>
      </c>
      <c r="N203" s="11">
        <v>500</v>
      </c>
      <c r="O203" s="14">
        <v>6429.2655000000004</v>
      </c>
      <c r="P203" s="15">
        <v>7.35</v>
      </c>
      <c r="Q203" s="39"/>
      <c r="R203" s="14">
        <f>O203*Q203</f>
        <v>0</v>
      </c>
      <c r="S203" s="15">
        <f>P203*Q203</f>
        <v>0</v>
      </c>
      <c r="T203" s="16"/>
      <c r="U203" s="17"/>
      <c r="V203" s="18"/>
      <c r="X203" s="18"/>
    </row>
    <row r="204" spans="5:24" s="8" customFormat="1" ht="39.950000000000003" customHeight="1" x14ac:dyDescent="0.25">
      <c r="E204" s="9">
        <v>185</v>
      </c>
      <c r="F204" s="11" t="s">
        <v>412</v>
      </c>
      <c r="G204" s="19" t="s">
        <v>413</v>
      </c>
      <c r="H204" s="11" t="s">
        <v>32</v>
      </c>
      <c r="I204" s="11"/>
      <c r="J204" s="11"/>
      <c r="K204" s="13">
        <v>8902297024191</v>
      </c>
      <c r="L204" s="37">
        <v>46784</v>
      </c>
      <c r="M204" s="11" t="s">
        <v>42</v>
      </c>
      <c r="N204" s="11">
        <v>2000</v>
      </c>
      <c r="O204" s="14">
        <v>1312.095</v>
      </c>
      <c r="P204" s="15">
        <v>1.5</v>
      </c>
      <c r="Q204" s="39"/>
      <c r="R204" s="14">
        <f>O204*Q204</f>
        <v>0</v>
      </c>
      <c r="S204" s="15">
        <f>P204*Q204</f>
        <v>0</v>
      </c>
      <c r="T204" s="16"/>
      <c r="U204" s="17"/>
      <c r="V204" s="18"/>
      <c r="X204" s="18"/>
    </row>
    <row r="205" spans="5:24" s="8" customFormat="1" ht="39.950000000000003" customHeight="1" x14ac:dyDescent="0.25">
      <c r="E205" s="9">
        <v>187</v>
      </c>
      <c r="F205" s="11" t="s">
        <v>416</v>
      </c>
      <c r="G205" s="19" t="s">
        <v>417</v>
      </c>
      <c r="H205" s="11" t="s">
        <v>32</v>
      </c>
      <c r="I205" s="11"/>
      <c r="J205" s="11"/>
      <c r="K205" s="13">
        <v>8901872009332</v>
      </c>
      <c r="L205" s="37">
        <v>46541</v>
      </c>
      <c r="M205" s="11" t="s">
        <v>58</v>
      </c>
      <c r="N205" s="11">
        <v>2450</v>
      </c>
      <c r="O205" s="14">
        <v>874.73</v>
      </c>
      <c r="P205" s="15">
        <v>1</v>
      </c>
      <c r="Q205" s="39"/>
      <c r="R205" s="14">
        <f>O205*Q205</f>
        <v>0</v>
      </c>
      <c r="S205" s="15">
        <f>P205*Q205</f>
        <v>0</v>
      </c>
      <c r="T205" s="16"/>
      <c r="U205" s="17"/>
      <c r="V205" s="18"/>
      <c r="X205" s="18"/>
    </row>
    <row r="206" spans="5:24" s="8" customFormat="1" ht="39.950000000000003" customHeight="1" x14ac:dyDescent="0.25">
      <c r="E206" s="9">
        <v>188</v>
      </c>
      <c r="F206" s="11" t="s">
        <v>418</v>
      </c>
      <c r="G206" s="19" t="s">
        <v>419</v>
      </c>
      <c r="H206" s="11" t="s">
        <v>32</v>
      </c>
      <c r="I206" s="11"/>
      <c r="J206" s="11"/>
      <c r="K206" s="13">
        <v>8901872009233</v>
      </c>
      <c r="L206" s="38">
        <v>46333</v>
      </c>
      <c r="M206" s="11" t="s">
        <v>58</v>
      </c>
      <c r="N206" s="11">
        <v>2450</v>
      </c>
      <c r="O206" s="14">
        <v>437.36500000000001</v>
      </c>
      <c r="P206" s="15">
        <v>0.5</v>
      </c>
      <c r="Q206" s="39"/>
      <c r="R206" s="14">
        <f>O206*Q206</f>
        <v>0</v>
      </c>
      <c r="S206" s="15">
        <f>P206*Q206</f>
        <v>0</v>
      </c>
      <c r="T206" s="16"/>
      <c r="U206" s="17"/>
      <c r="V206" s="18"/>
      <c r="X206" s="18"/>
    </row>
    <row r="207" spans="5:24" s="8" customFormat="1" ht="39.950000000000003" customHeight="1" x14ac:dyDescent="0.25">
      <c r="E207" s="9">
        <v>189</v>
      </c>
      <c r="F207" s="11" t="s">
        <v>420</v>
      </c>
      <c r="G207" s="19" t="s">
        <v>421</v>
      </c>
      <c r="H207" s="11" t="s">
        <v>25</v>
      </c>
      <c r="I207" s="11"/>
      <c r="J207" s="11"/>
      <c r="K207" s="13">
        <v>8902297013577</v>
      </c>
      <c r="L207" s="37">
        <v>46662</v>
      </c>
      <c r="M207" s="11" t="s">
        <v>55</v>
      </c>
      <c r="N207" s="11"/>
      <c r="O207" s="14">
        <v>349.892</v>
      </c>
      <c r="P207" s="15">
        <v>0.4</v>
      </c>
      <c r="Q207" s="39"/>
      <c r="R207" s="14">
        <f>O207*Q207</f>
        <v>0</v>
      </c>
      <c r="S207" s="15">
        <f>P207*Q207</f>
        <v>0</v>
      </c>
      <c r="T207" s="16"/>
      <c r="U207" s="17"/>
      <c r="V207" s="18"/>
      <c r="X207" s="18"/>
    </row>
    <row r="208" spans="5:24" s="8" customFormat="1" ht="39.950000000000003" customHeight="1" x14ac:dyDescent="0.25">
      <c r="E208" s="9">
        <v>190</v>
      </c>
      <c r="F208" s="11" t="s">
        <v>422</v>
      </c>
      <c r="G208" s="19" t="s">
        <v>423</v>
      </c>
      <c r="H208" s="11" t="s">
        <v>20</v>
      </c>
      <c r="I208" s="11"/>
      <c r="J208" s="11"/>
      <c r="K208" s="13">
        <v>8902297027338</v>
      </c>
      <c r="L208" s="37">
        <v>46724</v>
      </c>
      <c r="M208" s="11" t="s">
        <v>55</v>
      </c>
      <c r="N208" s="11">
        <v>100</v>
      </c>
      <c r="O208" s="14">
        <v>2064.3627999999999</v>
      </c>
      <c r="P208" s="15">
        <v>2.36</v>
      </c>
      <c r="Q208" s="39"/>
      <c r="R208" s="14">
        <f>O208*Q208</f>
        <v>0</v>
      </c>
      <c r="S208" s="15">
        <f>P208*Q208</f>
        <v>0</v>
      </c>
      <c r="T208" s="16"/>
      <c r="U208" s="17"/>
      <c r="V208" s="18"/>
      <c r="X208" s="18"/>
    </row>
    <row r="209" spans="1:24" s="8" customFormat="1" ht="39.950000000000003" customHeight="1" x14ac:dyDescent="0.25">
      <c r="E209" s="9">
        <v>191</v>
      </c>
      <c r="F209" s="11" t="s">
        <v>424</v>
      </c>
      <c r="G209" s="19" t="s">
        <v>425</v>
      </c>
      <c r="H209" s="11" t="s">
        <v>25</v>
      </c>
      <c r="I209" s="11"/>
      <c r="J209" s="11"/>
      <c r="K209" s="13">
        <v>8902297022340</v>
      </c>
      <c r="L209" s="37">
        <v>46815</v>
      </c>
      <c r="M209" s="11" t="s">
        <v>55</v>
      </c>
      <c r="N209" s="11">
        <v>500</v>
      </c>
      <c r="O209" s="14">
        <v>796.00429999999994</v>
      </c>
      <c r="P209" s="15">
        <v>0.91</v>
      </c>
      <c r="Q209" s="39"/>
      <c r="R209" s="14">
        <f>O209*Q209</f>
        <v>0</v>
      </c>
      <c r="S209" s="15">
        <f>P209*Q209</f>
        <v>0</v>
      </c>
      <c r="T209" s="16"/>
      <c r="U209" s="17"/>
      <c r="V209" s="18"/>
      <c r="X209" s="18"/>
    </row>
    <row r="210" spans="1:24" s="8" customFormat="1" ht="39.950000000000003" customHeight="1" x14ac:dyDescent="0.25">
      <c r="E210" s="9">
        <v>192</v>
      </c>
      <c r="F210" s="11" t="s">
        <v>426</v>
      </c>
      <c r="G210" s="19" t="s">
        <v>427</v>
      </c>
      <c r="H210" s="11" t="s">
        <v>25</v>
      </c>
      <c r="I210" s="11"/>
      <c r="J210" s="11"/>
      <c r="K210" s="13">
        <v>6916119062027</v>
      </c>
      <c r="L210" s="37">
        <v>46820</v>
      </c>
      <c r="M210" s="11" t="s">
        <v>55</v>
      </c>
      <c r="N210" s="11"/>
      <c r="O210" s="14">
        <v>804.75160000000005</v>
      </c>
      <c r="P210" s="15">
        <v>0.92</v>
      </c>
      <c r="Q210" s="39"/>
      <c r="R210" s="14">
        <f>O210*Q210</f>
        <v>0</v>
      </c>
      <c r="S210" s="15">
        <f>P210*Q210</f>
        <v>0</v>
      </c>
      <c r="T210" s="16"/>
      <c r="U210" s="17"/>
      <c r="V210" s="18"/>
      <c r="X210" s="18"/>
    </row>
    <row r="211" spans="1:24" s="8" customFormat="1" ht="39.950000000000003" customHeight="1" x14ac:dyDescent="0.25">
      <c r="E211" s="9">
        <v>194</v>
      </c>
      <c r="F211" s="11" t="s">
        <v>430</v>
      </c>
      <c r="G211" s="19" t="s">
        <v>431</v>
      </c>
      <c r="H211" s="11" t="s">
        <v>25</v>
      </c>
      <c r="I211" s="11"/>
      <c r="J211" s="11"/>
      <c r="K211" s="13">
        <v>8909440001504</v>
      </c>
      <c r="L211" s="37">
        <v>46966</v>
      </c>
      <c r="M211" s="11" t="s">
        <v>55</v>
      </c>
      <c r="N211" s="11"/>
      <c r="O211" s="14">
        <v>1102.1597999999999</v>
      </c>
      <c r="P211" s="15">
        <v>1.26</v>
      </c>
      <c r="Q211" s="39"/>
      <c r="R211" s="14">
        <f>O211*Q211</f>
        <v>0</v>
      </c>
      <c r="S211" s="15">
        <f>P211*Q211</f>
        <v>0</v>
      </c>
      <c r="T211" s="16"/>
      <c r="U211" s="17"/>
      <c r="V211" s="18"/>
      <c r="X211" s="18"/>
    </row>
    <row r="212" spans="1:24" s="8" customFormat="1" ht="39.950000000000003" customHeight="1" x14ac:dyDescent="0.25">
      <c r="A212" s="8" t="s">
        <v>450</v>
      </c>
      <c r="E212" s="9">
        <v>195</v>
      </c>
      <c r="F212" s="11" t="s">
        <v>432</v>
      </c>
      <c r="G212" s="19" t="s">
        <v>433</v>
      </c>
      <c r="H212" s="11" t="s">
        <v>25</v>
      </c>
      <c r="I212" s="11"/>
      <c r="J212" s="11"/>
      <c r="K212" s="13">
        <v>6916119062393</v>
      </c>
      <c r="L212" s="37">
        <v>47030</v>
      </c>
      <c r="M212" s="11" t="s">
        <v>21</v>
      </c>
      <c r="N212" s="11">
        <v>2000</v>
      </c>
      <c r="O212" s="14">
        <v>279.91359999999997</v>
      </c>
      <c r="P212" s="15">
        <v>0.32</v>
      </c>
      <c r="Q212" s="39"/>
      <c r="R212" s="14">
        <f>O212*Q212</f>
        <v>0</v>
      </c>
      <c r="S212" s="15">
        <f>P212*Q212</f>
        <v>0</v>
      </c>
      <c r="T212" s="16"/>
      <c r="U212" s="17"/>
      <c r="V212" s="18"/>
      <c r="X212" s="18"/>
    </row>
    <row r="213" spans="1:24" s="8" customFormat="1" ht="39.950000000000003" customHeight="1" x14ac:dyDescent="0.25">
      <c r="E213" s="9">
        <v>196</v>
      </c>
      <c r="F213" s="11" t="s">
        <v>434</v>
      </c>
      <c r="G213" s="19" t="s">
        <v>435</v>
      </c>
      <c r="H213" s="11" t="s">
        <v>20</v>
      </c>
      <c r="I213" s="11"/>
      <c r="J213" s="11"/>
      <c r="K213" s="13">
        <v>6936292193134</v>
      </c>
      <c r="L213" s="37">
        <v>47239</v>
      </c>
      <c r="M213" s="11" t="s">
        <v>180</v>
      </c>
      <c r="N213" s="11"/>
      <c r="O213" s="14">
        <v>612.31100000000004</v>
      </c>
      <c r="P213" s="15">
        <v>0.7</v>
      </c>
      <c r="Q213" s="39"/>
      <c r="R213" s="14">
        <f>O213*Q213</f>
        <v>0</v>
      </c>
      <c r="S213" s="15">
        <f>P213*Q213</f>
        <v>0</v>
      </c>
      <c r="T213" s="16"/>
      <c r="U213" s="17"/>
      <c r="V213" s="18"/>
      <c r="X213" s="18"/>
    </row>
    <row r="214" spans="1:24" s="8" customFormat="1" ht="39.950000000000003" customHeight="1" x14ac:dyDescent="0.25">
      <c r="E214" s="9">
        <v>197</v>
      </c>
      <c r="F214" s="11" t="s">
        <v>436</v>
      </c>
      <c r="G214" s="19" t="s">
        <v>437</v>
      </c>
      <c r="H214" s="11" t="s">
        <v>20</v>
      </c>
      <c r="I214" s="11"/>
      <c r="J214" s="11"/>
      <c r="K214" s="13">
        <v>6936292193141</v>
      </c>
      <c r="L214" s="37">
        <v>47239</v>
      </c>
      <c r="M214" s="11" t="s">
        <v>45</v>
      </c>
      <c r="N214" s="11"/>
      <c r="O214" s="14">
        <v>1040.9286999999999</v>
      </c>
      <c r="P214" s="15">
        <v>1.19</v>
      </c>
      <c r="Q214" s="39"/>
      <c r="R214" s="14">
        <f>O214*Q214</f>
        <v>0</v>
      </c>
      <c r="S214" s="15">
        <f>P214*Q214</f>
        <v>0</v>
      </c>
      <c r="T214" s="16"/>
      <c r="U214" s="17"/>
      <c r="V214" s="18"/>
      <c r="X214" s="18"/>
    </row>
    <row r="215" spans="1:24" s="8" customFormat="1" ht="39.950000000000003" customHeight="1" x14ac:dyDescent="0.25">
      <c r="E215" s="9">
        <v>198</v>
      </c>
      <c r="F215" s="11" t="s">
        <v>438</v>
      </c>
      <c r="G215" s="19" t="s">
        <v>439</v>
      </c>
      <c r="H215" s="11" t="s">
        <v>32</v>
      </c>
      <c r="I215" s="11"/>
      <c r="J215" s="11"/>
      <c r="K215" s="13">
        <v>8902297024252</v>
      </c>
      <c r="L215" s="37">
        <v>46997</v>
      </c>
      <c r="M215" s="11" t="s">
        <v>21</v>
      </c>
      <c r="N215" s="11">
        <v>1000</v>
      </c>
      <c r="O215" s="14">
        <v>673.5421</v>
      </c>
      <c r="P215" s="15">
        <v>0.77</v>
      </c>
      <c r="Q215" s="39"/>
      <c r="R215" s="14">
        <f>O215*Q215</f>
        <v>0</v>
      </c>
      <c r="S215" s="15">
        <f>P215*Q215</f>
        <v>0</v>
      </c>
      <c r="T215" s="16"/>
      <c r="U215" s="17"/>
      <c r="V215" s="18"/>
      <c r="X215" s="18"/>
    </row>
    <row r="216" spans="1:24" s="8" customFormat="1" ht="39.950000000000003" customHeight="1" x14ac:dyDescent="0.25">
      <c r="E216" s="9">
        <v>199</v>
      </c>
      <c r="F216" s="11" t="s">
        <v>440</v>
      </c>
      <c r="G216" s="19" t="s">
        <v>441</v>
      </c>
      <c r="H216" s="11" t="s">
        <v>32</v>
      </c>
      <c r="I216" s="11"/>
      <c r="J216" s="11"/>
      <c r="K216" s="13">
        <v>8902297025051</v>
      </c>
      <c r="L216" s="37">
        <v>46939</v>
      </c>
      <c r="M216" s="11" t="s">
        <v>116</v>
      </c>
      <c r="N216" s="11">
        <v>100</v>
      </c>
      <c r="O216" s="14">
        <v>2353.0237000000002</v>
      </c>
      <c r="P216" s="15">
        <v>2.69</v>
      </c>
      <c r="Q216" s="39"/>
      <c r="R216" s="14">
        <f>O216*Q216</f>
        <v>0</v>
      </c>
      <c r="S216" s="15">
        <f>P216*Q216</f>
        <v>0</v>
      </c>
      <c r="T216" s="16"/>
      <c r="U216" s="17"/>
      <c r="V216" s="18"/>
      <c r="X216" s="18"/>
    </row>
    <row r="217" spans="1:24" s="8" customFormat="1" ht="39.950000000000003" customHeight="1" x14ac:dyDescent="0.25">
      <c r="E217" s="9">
        <v>200</v>
      </c>
      <c r="F217" s="11" t="s">
        <v>442</v>
      </c>
      <c r="G217" s="19" t="s">
        <v>443</v>
      </c>
      <c r="H217" s="11" t="s">
        <v>25</v>
      </c>
      <c r="I217" s="11"/>
      <c r="J217" s="11"/>
      <c r="K217" s="13">
        <v>8902297022647</v>
      </c>
      <c r="L217" s="37">
        <v>46998</v>
      </c>
      <c r="M217" s="11" t="s">
        <v>116</v>
      </c>
      <c r="N217" s="11">
        <v>3000</v>
      </c>
      <c r="O217" s="14">
        <v>376.13389999999998</v>
      </c>
      <c r="P217" s="15">
        <v>0.43</v>
      </c>
      <c r="Q217" s="39"/>
      <c r="R217" s="14">
        <f>O217*Q217</f>
        <v>0</v>
      </c>
      <c r="S217" s="15">
        <f>P217*Q217</f>
        <v>0</v>
      </c>
      <c r="T217" s="16"/>
      <c r="U217" s="17"/>
      <c r="V217" s="18"/>
      <c r="X217" s="18"/>
    </row>
    <row r="218" spans="1:24" s="8" customFormat="1" ht="39.950000000000003" customHeight="1" x14ac:dyDescent="0.25">
      <c r="E218" s="9">
        <v>201</v>
      </c>
      <c r="F218" s="11" t="s">
        <v>444</v>
      </c>
      <c r="G218" s="19" t="s">
        <v>445</v>
      </c>
      <c r="H218" s="11" t="s">
        <v>25</v>
      </c>
      <c r="I218" s="11"/>
      <c r="J218" s="11"/>
      <c r="K218" s="13">
        <v>8902297024160</v>
      </c>
      <c r="L218" s="37">
        <v>47028</v>
      </c>
      <c r="M218" s="11" t="s">
        <v>42</v>
      </c>
      <c r="N218" s="11"/>
      <c r="O218" s="14">
        <v>1592.0085999999999</v>
      </c>
      <c r="P218" s="15">
        <v>1.82</v>
      </c>
      <c r="Q218" s="39"/>
      <c r="R218" s="14">
        <f>O218*Q218</f>
        <v>0</v>
      </c>
      <c r="S218" s="15">
        <f>P218*Q218</f>
        <v>0</v>
      </c>
      <c r="T218" s="16"/>
      <c r="U218" s="17"/>
      <c r="V218" s="18"/>
      <c r="X218" s="18"/>
    </row>
    <row r="219" spans="1:24" s="8" customFormat="1" ht="39.950000000000003" customHeight="1" x14ac:dyDescent="0.25">
      <c r="E219" s="9">
        <v>202</v>
      </c>
      <c r="F219" s="11" t="s">
        <v>446</v>
      </c>
      <c r="G219" s="19" t="s">
        <v>447</v>
      </c>
      <c r="H219" s="11" t="s">
        <v>25</v>
      </c>
      <c r="I219" s="11"/>
      <c r="J219" s="11"/>
      <c r="K219" s="13">
        <v>8902297010798</v>
      </c>
      <c r="L219" s="37">
        <v>47088</v>
      </c>
      <c r="M219" s="11" t="s">
        <v>42</v>
      </c>
      <c r="N219" s="11"/>
      <c r="O219" s="14">
        <v>839.74080000000004</v>
      </c>
      <c r="P219" s="15">
        <v>0.96</v>
      </c>
      <c r="Q219" s="39"/>
      <c r="R219" s="14">
        <f>O219*Q219</f>
        <v>0</v>
      </c>
      <c r="S219" s="15">
        <f>P219*Q219</f>
        <v>0</v>
      </c>
      <c r="T219" s="16"/>
      <c r="U219" s="17"/>
      <c r="V219" s="18"/>
      <c r="X219" s="18"/>
    </row>
    <row r="220" spans="1:24" s="8" customFormat="1" ht="39.950000000000003" customHeight="1" x14ac:dyDescent="0.25">
      <c r="E220" s="9">
        <v>203</v>
      </c>
      <c r="F220" s="11" t="s">
        <v>448</v>
      </c>
      <c r="G220" s="22" t="s">
        <v>449</v>
      </c>
      <c r="H220" s="11" t="s">
        <v>25</v>
      </c>
      <c r="I220" s="11"/>
      <c r="J220" s="11"/>
      <c r="K220" s="13">
        <v>8902297110795</v>
      </c>
      <c r="L220" s="37">
        <v>46999</v>
      </c>
      <c r="M220" s="11" t="s">
        <v>42</v>
      </c>
      <c r="N220" s="11">
        <v>375</v>
      </c>
      <c r="O220" s="14">
        <v>2204.3195999999998</v>
      </c>
      <c r="P220" s="15">
        <v>2.52</v>
      </c>
      <c r="Q220" s="39"/>
      <c r="R220" s="14">
        <f>O220*Q220</f>
        <v>0</v>
      </c>
      <c r="S220" s="15">
        <f>P220*Q220</f>
        <v>0</v>
      </c>
      <c r="T220" s="16"/>
      <c r="U220" s="17"/>
      <c r="V220" s="18"/>
      <c r="X220" s="18"/>
    </row>
    <row r="221" spans="1:24" s="8" customFormat="1" ht="39.950000000000003" customHeight="1" x14ac:dyDescent="0.25">
      <c r="E221" s="9">
        <v>204</v>
      </c>
      <c r="F221" s="11" t="s">
        <v>451</v>
      </c>
      <c r="G221" s="22" t="s">
        <v>452</v>
      </c>
      <c r="H221" s="11" t="s">
        <v>20</v>
      </c>
      <c r="I221" s="11"/>
      <c r="J221" s="11"/>
      <c r="K221" s="13">
        <v>8909440000439</v>
      </c>
      <c r="L221" s="37">
        <v>46631</v>
      </c>
      <c r="M221" s="11" t="s">
        <v>58</v>
      </c>
      <c r="N221" s="11">
        <v>2500</v>
      </c>
      <c r="O221" s="14">
        <v>463.6069</v>
      </c>
      <c r="P221" s="15">
        <v>0.53</v>
      </c>
      <c r="Q221" s="39"/>
      <c r="R221" s="14">
        <f>O221*Q221</f>
        <v>0</v>
      </c>
      <c r="S221" s="15">
        <f>P221*Q221</f>
        <v>0</v>
      </c>
      <c r="T221" s="16"/>
      <c r="U221" s="17"/>
      <c r="V221" s="18"/>
      <c r="X221" s="18"/>
    </row>
    <row r="222" spans="1:24" s="8" customFormat="1" ht="39.950000000000003" customHeight="1" x14ac:dyDescent="0.25">
      <c r="E222" s="9">
        <v>205</v>
      </c>
      <c r="F222" s="11" t="s">
        <v>453</v>
      </c>
      <c r="G222" s="22" t="s">
        <v>454</v>
      </c>
      <c r="H222" s="11" t="s">
        <v>25</v>
      </c>
      <c r="I222" s="11"/>
      <c r="J222" s="11"/>
      <c r="K222" s="13">
        <v>8909440000972</v>
      </c>
      <c r="L222" s="37">
        <v>47062</v>
      </c>
      <c r="M222" s="11" t="s">
        <v>55</v>
      </c>
      <c r="N222" s="11"/>
      <c r="O222" s="14">
        <v>621.05830000000003</v>
      </c>
      <c r="P222" s="15">
        <v>0.71</v>
      </c>
      <c r="Q222" s="39"/>
      <c r="R222" s="14">
        <f>O222*Q222</f>
        <v>0</v>
      </c>
      <c r="S222" s="15">
        <f>P222*Q222</f>
        <v>0</v>
      </c>
      <c r="T222" s="16"/>
      <c r="U222" s="17"/>
      <c r="V222" s="18"/>
      <c r="X222" s="18"/>
    </row>
    <row r="223" spans="1:24" s="8" customFormat="1" ht="39.950000000000003" customHeight="1" x14ac:dyDescent="0.25">
      <c r="E223" s="9">
        <v>206</v>
      </c>
      <c r="F223" s="11" t="s">
        <v>455</v>
      </c>
      <c r="G223" s="22" t="s">
        <v>456</v>
      </c>
      <c r="H223" s="11" t="s">
        <v>32</v>
      </c>
      <c r="I223" s="11"/>
      <c r="J223" s="11"/>
      <c r="K223" s="13">
        <v>8906005117199</v>
      </c>
      <c r="L223" s="37">
        <v>46879</v>
      </c>
      <c r="M223" s="11" t="s">
        <v>55</v>
      </c>
      <c r="N223" s="11">
        <v>720</v>
      </c>
      <c r="O223" s="14">
        <v>1198.3801000000001</v>
      </c>
      <c r="P223" s="15">
        <v>1.37</v>
      </c>
      <c r="Q223" s="39"/>
      <c r="R223" s="14">
        <f>O223*Q223</f>
        <v>0</v>
      </c>
      <c r="S223" s="15">
        <f>P223*Q223</f>
        <v>0</v>
      </c>
      <c r="T223" s="16"/>
      <c r="U223" s="17"/>
      <c r="V223" s="18"/>
      <c r="X223" s="18"/>
    </row>
    <row r="224" spans="1:24" s="8" customFormat="1" ht="39.950000000000003" customHeight="1" x14ac:dyDescent="0.25">
      <c r="E224" s="9">
        <v>207</v>
      </c>
      <c r="F224" s="11" t="s">
        <v>457</v>
      </c>
      <c r="G224" s="22" t="s">
        <v>458</v>
      </c>
      <c r="H224" s="11" t="s">
        <v>20</v>
      </c>
      <c r="I224" s="11"/>
      <c r="J224" s="11"/>
      <c r="K224" s="13">
        <v>8906044710917</v>
      </c>
      <c r="L224" s="37">
        <v>47178</v>
      </c>
      <c r="M224" s="11" t="s">
        <v>65</v>
      </c>
      <c r="N224" s="11">
        <v>216</v>
      </c>
      <c r="O224" s="14">
        <v>4006.2633999999998</v>
      </c>
      <c r="P224" s="15">
        <v>4.58</v>
      </c>
      <c r="Q224" s="39"/>
      <c r="R224" s="14">
        <f>O224*Q224</f>
        <v>0</v>
      </c>
      <c r="S224" s="15">
        <f>P224*Q224</f>
        <v>0</v>
      </c>
      <c r="T224" s="16"/>
      <c r="U224" s="17"/>
      <c r="V224" s="18"/>
      <c r="X224" s="18"/>
    </row>
    <row r="225" spans="5:24" s="8" customFormat="1" ht="39.950000000000003" customHeight="1" x14ac:dyDescent="0.25">
      <c r="E225" s="9">
        <v>209</v>
      </c>
      <c r="F225" s="11" t="s">
        <v>461</v>
      </c>
      <c r="G225" s="23" t="s">
        <v>462</v>
      </c>
      <c r="H225" s="11" t="s">
        <v>32</v>
      </c>
      <c r="I225" s="11"/>
      <c r="J225" s="11"/>
      <c r="K225" s="13">
        <v>8909440000927</v>
      </c>
      <c r="L225" s="37">
        <v>46997</v>
      </c>
      <c r="M225" s="11" t="s">
        <v>45</v>
      </c>
      <c r="N225" s="11">
        <v>360</v>
      </c>
      <c r="O225" s="14">
        <v>1180.8855000000001</v>
      </c>
      <c r="P225" s="15">
        <v>1.35</v>
      </c>
      <c r="Q225" s="39"/>
      <c r="R225" s="14">
        <f>O225*Q225</f>
        <v>0</v>
      </c>
      <c r="S225" s="15">
        <f>P225*Q225</f>
        <v>0</v>
      </c>
      <c r="T225" s="16"/>
      <c r="U225" s="17"/>
      <c r="V225" s="18"/>
      <c r="X225" s="18"/>
    </row>
    <row r="226" spans="5:24" s="8" customFormat="1" ht="39.950000000000003" customHeight="1" x14ac:dyDescent="0.25">
      <c r="E226" s="9">
        <v>210</v>
      </c>
      <c r="F226" s="25" t="s">
        <v>463</v>
      </c>
      <c r="G226" s="26" t="s">
        <v>464</v>
      </c>
      <c r="H226" s="27" t="s">
        <v>20</v>
      </c>
      <c r="I226" s="11"/>
      <c r="J226" s="11"/>
      <c r="K226" s="13">
        <v>8901872008403</v>
      </c>
      <c r="L226" s="37">
        <v>47119</v>
      </c>
      <c r="M226" s="11" t="s">
        <v>45</v>
      </c>
      <c r="N226" s="11">
        <v>525</v>
      </c>
      <c r="O226" s="14">
        <v>638.55290000000002</v>
      </c>
      <c r="P226" s="15">
        <v>0.73</v>
      </c>
      <c r="Q226" s="39"/>
      <c r="R226" s="14">
        <f>O226*Q226</f>
        <v>0</v>
      </c>
      <c r="S226" s="15">
        <f>P226*Q226</f>
        <v>0</v>
      </c>
      <c r="T226" s="16"/>
      <c r="U226" s="17"/>
      <c r="V226" s="18"/>
      <c r="X226" s="18"/>
    </row>
    <row r="227" spans="5:24" s="8" customFormat="1" ht="39.950000000000003" customHeight="1" x14ac:dyDescent="0.25">
      <c r="E227" s="9">
        <v>211</v>
      </c>
      <c r="F227" s="25" t="s">
        <v>465</v>
      </c>
      <c r="G227" s="26" t="s">
        <v>466</v>
      </c>
      <c r="H227" s="27" t="s">
        <v>20</v>
      </c>
      <c r="I227" s="11"/>
      <c r="J227" s="11"/>
      <c r="K227" s="13">
        <v>8906005117953</v>
      </c>
      <c r="L227" s="37">
        <v>46846</v>
      </c>
      <c r="M227" s="11" t="s">
        <v>467</v>
      </c>
      <c r="N227" s="11">
        <v>2500</v>
      </c>
      <c r="O227" s="14">
        <v>787.25699999999995</v>
      </c>
      <c r="P227" s="15">
        <v>0.9</v>
      </c>
      <c r="Q227" s="39"/>
      <c r="R227" s="14">
        <f>O227*Q227</f>
        <v>0</v>
      </c>
      <c r="S227" s="15">
        <f>P227*Q227</f>
        <v>0</v>
      </c>
      <c r="T227" s="16"/>
      <c r="U227" s="17"/>
      <c r="V227" s="18"/>
      <c r="X227" s="18"/>
    </row>
    <row r="228" spans="5:24" s="8" customFormat="1" ht="39.950000000000003" customHeight="1" x14ac:dyDescent="0.25">
      <c r="E228" s="9">
        <v>212</v>
      </c>
      <c r="F228" s="25" t="s">
        <v>468</v>
      </c>
      <c r="G228" s="26" t="s">
        <v>469</v>
      </c>
      <c r="H228" s="27" t="s">
        <v>20</v>
      </c>
      <c r="I228" s="11"/>
      <c r="J228" s="11"/>
      <c r="K228" s="13">
        <v>8909440000385</v>
      </c>
      <c r="L228" s="37">
        <v>47181</v>
      </c>
      <c r="M228" s="11" t="s">
        <v>224</v>
      </c>
      <c r="N228" s="11">
        <v>500</v>
      </c>
      <c r="O228" s="14">
        <v>865.98270000000002</v>
      </c>
      <c r="P228" s="15">
        <v>0.99</v>
      </c>
      <c r="Q228" s="39"/>
      <c r="R228" s="14">
        <f>O228*Q228</f>
        <v>0</v>
      </c>
      <c r="S228" s="15">
        <f>P228*Q228</f>
        <v>0</v>
      </c>
      <c r="T228" s="16"/>
      <c r="U228" s="17"/>
      <c r="V228" s="18"/>
      <c r="X228" s="18"/>
    </row>
    <row r="229" spans="5:24" s="8" customFormat="1" ht="39.950000000000003" customHeight="1" x14ac:dyDescent="0.25">
      <c r="E229" s="9">
        <v>213</v>
      </c>
      <c r="F229" s="25" t="s">
        <v>470</v>
      </c>
      <c r="G229" s="26" t="s">
        <v>471</v>
      </c>
      <c r="H229" s="27" t="s">
        <v>20</v>
      </c>
      <c r="I229" s="11"/>
      <c r="J229" s="11"/>
      <c r="K229" s="13">
        <v>8906044710887</v>
      </c>
      <c r="L229" s="37">
        <v>47209</v>
      </c>
      <c r="M229" s="11" t="s">
        <v>58</v>
      </c>
      <c r="N229" s="11">
        <v>216</v>
      </c>
      <c r="O229" s="14">
        <v>1889.4168</v>
      </c>
      <c r="P229" s="15">
        <v>2.16</v>
      </c>
      <c r="Q229" s="39"/>
      <c r="R229" s="14">
        <f>O229*Q229</f>
        <v>0</v>
      </c>
      <c r="S229" s="15">
        <f>P229*Q229</f>
        <v>0</v>
      </c>
      <c r="T229" s="16"/>
      <c r="U229" s="17"/>
      <c r="V229" s="18"/>
      <c r="X229" s="18"/>
    </row>
    <row r="230" spans="5:24" s="8" customFormat="1" ht="39.950000000000003" customHeight="1" x14ac:dyDescent="0.25">
      <c r="E230" s="9">
        <v>214</v>
      </c>
      <c r="F230" s="25" t="s">
        <v>472</v>
      </c>
      <c r="G230" s="26" t="s">
        <v>473</v>
      </c>
      <c r="H230" s="27" t="s">
        <v>25</v>
      </c>
      <c r="I230" s="11"/>
      <c r="J230" s="11"/>
      <c r="K230" s="13">
        <v>8906044711723</v>
      </c>
      <c r="L230" s="37">
        <v>47182</v>
      </c>
      <c r="M230" s="11" t="s">
        <v>474</v>
      </c>
      <c r="N230" s="11"/>
      <c r="O230" s="14">
        <v>1180.8855000000001</v>
      </c>
      <c r="P230" s="15">
        <v>1.35</v>
      </c>
      <c r="Q230" s="39"/>
      <c r="R230" s="14">
        <f>O230*Q230</f>
        <v>0</v>
      </c>
      <c r="S230" s="15">
        <f>P230*Q230</f>
        <v>0</v>
      </c>
      <c r="T230" s="16"/>
      <c r="U230" s="17"/>
      <c r="V230" s="18"/>
      <c r="X230" s="18"/>
    </row>
    <row r="231" spans="5:24" s="8" customFormat="1" ht="39.950000000000003" customHeight="1" x14ac:dyDescent="0.25">
      <c r="E231" s="9">
        <v>215</v>
      </c>
      <c r="F231" s="25" t="s">
        <v>475</v>
      </c>
      <c r="G231" s="26" t="s">
        <v>476</v>
      </c>
      <c r="H231" s="27" t="s">
        <v>20</v>
      </c>
      <c r="I231" s="11"/>
      <c r="J231" s="11"/>
      <c r="K231" s="13">
        <v>8906188190408</v>
      </c>
      <c r="L231" s="37">
        <v>46723</v>
      </c>
      <c r="M231" s="11" t="s">
        <v>45</v>
      </c>
      <c r="N231" s="11">
        <v>100</v>
      </c>
      <c r="O231" s="14">
        <v>1399.568</v>
      </c>
      <c r="P231" s="15">
        <v>1.6</v>
      </c>
      <c r="Q231" s="39"/>
      <c r="R231" s="14">
        <f>O231*Q231</f>
        <v>0</v>
      </c>
      <c r="S231" s="15">
        <f>P231*Q231</f>
        <v>0</v>
      </c>
      <c r="T231" s="16"/>
      <c r="U231" s="17"/>
      <c r="V231" s="18"/>
      <c r="X231" s="18"/>
    </row>
    <row r="232" spans="5:24" s="8" customFormat="1" ht="39.950000000000003" customHeight="1" x14ac:dyDescent="0.25">
      <c r="E232" s="9">
        <v>216</v>
      </c>
      <c r="F232" s="25" t="s">
        <v>477</v>
      </c>
      <c r="G232" s="26" t="s">
        <v>478</v>
      </c>
      <c r="H232" s="27" t="s">
        <v>20</v>
      </c>
      <c r="I232" s="11"/>
      <c r="J232" s="11"/>
      <c r="K232" s="13">
        <v>8909440001405</v>
      </c>
      <c r="L232" s="37">
        <v>47210</v>
      </c>
      <c r="M232" s="11" t="s">
        <v>224</v>
      </c>
      <c r="N232" s="11">
        <v>500</v>
      </c>
      <c r="O232" s="14">
        <v>1460.7991</v>
      </c>
      <c r="P232" s="15">
        <v>1.67</v>
      </c>
      <c r="Q232" s="39"/>
      <c r="R232" s="14">
        <f>O232*Q232</f>
        <v>0</v>
      </c>
      <c r="S232" s="15">
        <f>P232*Q232</f>
        <v>0</v>
      </c>
      <c r="T232" s="16"/>
      <c r="U232" s="17"/>
      <c r="V232" s="18"/>
      <c r="X232" s="18"/>
    </row>
    <row r="233" spans="5:24" s="8" customFormat="1" ht="39.950000000000003" customHeight="1" x14ac:dyDescent="0.25">
      <c r="E233" s="9">
        <v>217</v>
      </c>
      <c r="F233" s="25" t="s">
        <v>479</v>
      </c>
      <c r="G233" s="26" t="s">
        <v>480</v>
      </c>
      <c r="H233" s="27" t="s">
        <v>25</v>
      </c>
      <c r="I233" s="11"/>
      <c r="J233" s="11"/>
      <c r="K233" s="13">
        <v>8909440000149</v>
      </c>
      <c r="L233" s="37">
        <v>46937</v>
      </c>
      <c r="M233" s="11" t="s">
        <v>224</v>
      </c>
      <c r="N233" s="11">
        <v>2500</v>
      </c>
      <c r="O233" s="14">
        <v>472.35419999999999</v>
      </c>
      <c r="P233" s="15">
        <v>0.54</v>
      </c>
      <c r="Q233" s="39"/>
      <c r="R233" s="14">
        <f>O233*Q233</f>
        <v>0</v>
      </c>
      <c r="S233" s="15">
        <f>P233*Q233</f>
        <v>0</v>
      </c>
      <c r="T233" s="16"/>
      <c r="U233" s="17"/>
      <c r="V233" s="18"/>
      <c r="X233" s="18"/>
    </row>
    <row r="234" spans="5:24" s="8" customFormat="1" ht="39.950000000000003" customHeight="1" x14ac:dyDescent="0.25">
      <c r="E234" s="9">
        <v>218</v>
      </c>
      <c r="F234" s="25" t="s">
        <v>481</v>
      </c>
      <c r="G234" s="26" t="s">
        <v>482</v>
      </c>
      <c r="H234" s="27" t="s">
        <v>20</v>
      </c>
      <c r="I234" s="11"/>
      <c r="J234" s="11"/>
      <c r="K234" s="13">
        <v>8906044710818</v>
      </c>
      <c r="L234" s="37">
        <v>46813</v>
      </c>
      <c r="M234" s="11" t="s">
        <v>483</v>
      </c>
      <c r="N234" s="11">
        <v>216</v>
      </c>
      <c r="O234" s="14">
        <v>3411.4470000000001</v>
      </c>
      <c r="P234" s="15">
        <v>3.9</v>
      </c>
      <c r="Q234" s="39"/>
      <c r="R234" s="14">
        <f>O234*Q234</f>
        <v>0</v>
      </c>
      <c r="S234" s="15">
        <f>P234*Q234</f>
        <v>0</v>
      </c>
      <c r="T234" s="16"/>
      <c r="U234" s="17"/>
      <c r="V234" s="18"/>
      <c r="X234" s="18"/>
    </row>
    <row r="235" spans="5:24" s="8" customFormat="1" ht="39.950000000000003" customHeight="1" x14ac:dyDescent="0.25">
      <c r="E235" s="9">
        <v>221</v>
      </c>
      <c r="F235" s="25" t="s">
        <v>488</v>
      </c>
      <c r="G235" s="26" t="s">
        <v>489</v>
      </c>
      <c r="H235" s="27" t="s">
        <v>25</v>
      </c>
      <c r="I235" s="11"/>
      <c r="J235" s="11"/>
      <c r="K235" s="13">
        <v>8906001559900</v>
      </c>
      <c r="L235" s="37">
        <v>46422</v>
      </c>
      <c r="M235" s="11" t="s">
        <v>111</v>
      </c>
      <c r="N235" s="11"/>
      <c r="O235" s="14">
        <v>2055.6154999999999</v>
      </c>
      <c r="P235" s="15">
        <v>2.35</v>
      </c>
      <c r="Q235" s="39"/>
      <c r="R235" s="14">
        <f>O235*Q235</f>
        <v>0</v>
      </c>
      <c r="S235" s="15">
        <f>P235*Q235</f>
        <v>0</v>
      </c>
      <c r="T235" s="16"/>
      <c r="U235" s="17"/>
      <c r="V235" s="18"/>
      <c r="X235" s="18"/>
    </row>
    <row r="236" spans="5:24" s="8" customFormat="1" ht="39.950000000000003" customHeight="1" x14ac:dyDescent="0.25">
      <c r="E236" s="9">
        <v>222</v>
      </c>
      <c r="F236" s="25" t="s">
        <v>490</v>
      </c>
      <c r="G236" s="26" t="s">
        <v>491</v>
      </c>
      <c r="H236" s="27" t="s">
        <v>32</v>
      </c>
      <c r="I236" s="11"/>
      <c r="J236" s="11"/>
      <c r="K236" s="13">
        <v>8906188190101</v>
      </c>
      <c r="L236" s="37">
        <v>46601</v>
      </c>
      <c r="M236" s="11" t="s">
        <v>55</v>
      </c>
      <c r="N236" s="11">
        <v>486</v>
      </c>
      <c r="O236" s="14">
        <v>2834.1251999999999</v>
      </c>
      <c r="P236" s="15">
        <v>3.24</v>
      </c>
      <c r="Q236" s="39"/>
      <c r="R236" s="14">
        <f>O236*Q236</f>
        <v>0</v>
      </c>
      <c r="S236" s="15">
        <f>P236*Q236</f>
        <v>0</v>
      </c>
      <c r="T236" s="16"/>
      <c r="U236" s="17"/>
      <c r="V236" s="18"/>
      <c r="X236" s="18"/>
    </row>
    <row r="237" spans="5:24" s="8" customFormat="1" ht="39.950000000000003" customHeight="1" x14ac:dyDescent="0.25">
      <c r="E237" s="9">
        <v>224</v>
      </c>
      <c r="F237" s="25" t="s">
        <v>494</v>
      </c>
      <c r="G237" s="28" t="s">
        <v>495</v>
      </c>
      <c r="H237" s="27" t="s">
        <v>32</v>
      </c>
      <c r="I237" s="21" t="s">
        <v>68</v>
      </c>
      <c r="J237" s="11"/>
      <c r="K237" s="13">
        <v>6916119062140</v>
      </c>
      <c r="L237" s="37">
        <v>46633</v>
      </c>
      <c r="M237" s="11" t="s">
        <v>45</v>
      </c>
      <c r="N237" s="11">
        <v>2000</v>
      </c>
      <c r="O237" s="14">
        <v>629.80560000000003</v>
      </c>
      <c r="P237" s="15">
        <v>0.72</v>
      </c>
      <c r="Q237" s="39"/>
      <c r="R237" s="14">
        <f>O237*Q237</f>
        <v>0</v>
      </c>
      <c r="S237" s="15">
        <f>P237*Q237</f>
        <v>0</v>
      </c>
      <c r="T237" s="16"/>
      <c r="U237" s="17"/>
      <c r="V237" s="18"/>
      <c r="X237" s="18"/>
    </row>
    <row r="238" spans="5:24" s="8" customFormat="1" ht="39.950000000000003" customHeight="1" x14ac:dyDescent="0.25">
      <c r="E238" s="9">
        <v>226</v>
      </c>
      <c r="F238" s="25" t="s">
        <v>498</v>
      </c>
      <c r="G238" s="26" t="s">
        <v>499</v>
      </c>
      <c r="H238" s="27" t="s">
        <v>32</v>
      </c>
      <c r="I238" s="11"/>
      <c r="J238" s="11"/>
      <c r="K238" s="13">
        <v>6916119062157</v>
      </c>
      <c r="L238" s="37">
        <v>46723</v>
      </c>
      <c r="M238" s="11" t="s">
        <v>45</v>
      </c>
      <c r="N238" s="11">
        <v>2000</v>
      </c>
      <c r="O238" s="14">
        <v>437.36500000000001</v>
      </c>
      <c r="P238" s="15">
        <v>0.5</v>
      </c>
      <c r="Q238" s="39"/>
      <c r="R238" s="14">
        <f>O238*Q238</f>
        <v>0</v>
      </c>
      <c r="S238" s="15">
        <f>P238*Q238</f>
        <v>0</v>
      </c>
      <c r="T238" s="16"/>
      <c r="U238" s="17"/>
      <c r="V238" s="18"/>
      <c r="X238" s="18"/>
    </row>
    <row r="239" spans="5:24" s="8" customFormat="1" ht="39.950000000000003" customHeight="1" x14ac:dyDescent="0.25">
      <c r="E239" s="9">
        <v>228</v>
      </c>
      <c r="F239" s="25" t="s">
        <v>502</v>
      </c>
      <c r="G239" s="26" t="s">
        <v>503</v>
      </c>
      <c r="H239" s="27" t="s">
        <v>20</v>
      </c>
      <c r="I239" s="11"/>
      <c r="J239" s="11"/>
      <c r="K239" s="13">
        <v>8906188190132</v>
      </c>
      <c r="L239" s="37">
        <v>46935</v>
      </c>
      <c r="M239" s="11" t="s">
        <v>29</v>
      </c>
      <c r="N239" s="11"/>
      <c r="O239" s="14">
        <v>7391.4684999999999</v>
      </c>
      <c r="P239" s="15">
        <v>8.4499999999999993</v>
      </c>
      <c r="Q239" s="39"/>
      <c r="R239" s="14">
        <f>O239*Q239</f>
        <v>0</v>
      </c>
      <c r="S239" s="15">
        <f>P239*Q239</f>
        <v>0</v>
      </c>
      <c r="T239" s="16"/>
      <c r="U239" s="17"/>
      <c r="V239" s="18"/>
      <c r="X239" s="18"/>
    </row>
    <row r="240" spans="5:24" s="8" customFormat="1" ht="39.950000000000003" customHeight="1" x14ac:dyDescent="0.25">
      <c r="E240" s="9">
        <v>229</v>
      </c>
      <c r="F240" s="25" t="s">
        <v>504</v>
      </c>
      <c r="G240" s="26" t="s">
        <v>505</v>
      </c>
      <c r="H240" s="27" t="s">
        <v>20</v>
      </c>
      <c r="I240" s="11"/>
      <c r="J240" s="11"/>
      <c r="K240" s="13">
        <v>8906005117397</v>
      </c>
      <c r="L240" s="37">
        <v>46814</v>
      </c>
      <c r="M240" s="11" t="s">
        <v>58</v>
      </c>
      <c r="N240" s="11">
        <v>320</v>
      </c>
      <c r="O240" s="14">
        <v>1574.5139999999999</v>
      </c>
      <c r="P240" s="15">
        <v>1.8</v>
      </c>
      <c r="Q240" s="39"/>
      <c r="R240" s="14">
        <f>O240*Q240</f>
        <v>0</v>
      </c>
      <c r="S240" s="15">
        <f>P240*Q240</f>
        <v>0</v>
      </c>
      <c r="T240" s="16"/>
      <c r="U240" s="17"/>
      <c r="V240" s="18"/>
      <c r="X240" s="18"/>
    </row>
    <row r="241" spans="2:24" s="8" customFormat="1" ht="39.950000000000003" customHeight="1" x14ac:dyDescent="0.25">
      <c r="E241" s="9">
        <v>232</v>
      </c>
      <c r="F241" s="25" t="s">
        <v>510</v>
      </c>
      <c r="G241" s="26" t="s">
        <v>511</v>
      </c>
      <c r="H241" s="27" t="s">
        <v>20</v>
      </c>
      <c r="I241" s="11"/>
      <c r="J241" s="11"/>
      <c r="K241" s="13">
        <v>8902297026348</v>
      </c>
      <c r="L241" s="37">
        <v>46540</v>
      </c>
      <c r="M241" s="11" t="s">
        <v>35</v>
      </c>
      <c r="N241" s="11">
        <v>500</v>
      </c>
      <c r="O241" s="14">
        <v>2597.9481000000001</v>
      </c>
      <c r="P241" s="15">
        <v>2.97</v>
      </c>
      <c r="Q241" s="39"/>
      <c r="R241" s="14">
        <f>O241*Q241</f>
        <v>0</v>
      </c>
      <c r="S241" s="15">
        <f>P241*Q241</f>
        <v>0</v>
      </c>
      <c r="T241" s="16"/>
      <c r="U241" s="17"/>
      <c r="V241" s="18"/>
      <c r="X241" s="18"/>
    </row>
    <row r="242" spans="2:24" s="8" customFormat="1" ht="39.950000000000003" customHeight="1" x14ac:dyDescent="0.25">
      <c r="E242" s="9">
        <v>233</v>
      </c>
      <c r="F242" s="25" t="s">
        <v>512</v>
      </c>
      <c r="G242" s="26" t="s">
        <v>513</v>
      </c>
      <c r="H242" s="27" t="s">
        <v>20</v>
      </c>
      <c r="I242" s="11"/>
      <c r="J242" s="11"/>
      <c r="K242" s="13">
        <v>6916119062621</v>
      </c>
      <c r="L242" s="37">
        <v>46998</v>
      </c>
      <c r="M242" s="11" t="s">
        <v>35</v>
      </c>
      <c r="N242" s="11">
        <v>216</v>
      </c>
      <c r="O242" s="14">
        <v>3673.866</v>
      </c>
      <c r="P242" s="15">
        <v>4.2</v>
      </c>
      <c r="Q242" s="39"/>
      <c r="R242" s="14">
        <f>O242*Q242</f>
        <v>0</v>
      </c>
      <c r="S242" s="15">
        <f>P242*Q242</f>
        <v>0</v>
      </c>
      <c r="T242" s="16"/>
      <c r="U242" s="17"/>
      <c r="V242" s="18"/>
      <c r="X242" s="18"/>
    </row>
    <row r="243" spans="2:24" s="8" customFormat="1" ht="39.950000000000003" customHeight="1" x14ac:dyDescent="0.25">
      <c r="E243" s="9">
        <v>234</v>
      </c>
      <c r="F243" s="11" t="s">
        <v>514</v>
      </c>
      <c r="G243" s="35" t="s">
        <v>515</v>
      </c>
      <c r="H243" s="11" t="s">
        <v>25</v>
      </c>
      <c r="I243" s="11"/>
      <c r="J243" s="11"/>
      <c r="K243" s="13">
        <v>6916119062164</v>
      </c>
      <c r="L243" s="37">
        <v>46620</v>
      </c>
      <c r="M243" s="11" t="s">
        <v>35</v>
      </c>
      <c r="N243" s="11">
        <v>320</v>
      </c>
      <c r="O243" s="14">
        <v>1836.933</v>
      </c>
      <c r="P243" s="15">
        <v>2.1</v>
      </c>
      <c r="Q243" s="39"/>
      <c r="R243" s="14">
        <f>O243*Q243</f>
        <v>0</v>
      </c>
      <c r="S243" s="15">
        <f>P243*Q243</f>
        <v>0</v>
      </c>
      <c r="T243" s="16"/>
      <c r="U243" s="17"/>
      <c r="V243" s="18"/>
      <c r="X243" s="18"/>
    </row>
    <row r="244" spans="2:24" s="8" customFormat="1" ht="39.950000000000003" customHeight="1" x14ac:dyDescent="0.25">
      <c r="E244" s="9">
        <v>236</v>
      </c>
      <c r="F244" s="11" t="s">
        <v>518</v>
      </c>
      <c r="G244" s="19" t="s">
        <v>519</v>
      </c>
      <c r="H244" s="11" t="s">
        <v>25</v>
      </c>
      <c r="I244" s="11"/>
      <c r="J244" s="11"/>
      <c r="K244" s="13">
        <v>6916119062058</v>
      </c>
      <c r="L244" s="37">
        <v>46510</v>
      </c>
      <c r="M244" s="11" t="s">
        <v>35</v>
      </c>
      <c r="N244" s="11">
        <v>1200</v>
      </c>
      <c r="O244" s="14">
        <v>262.41899999999998</v>
      </c>
      <c r="P244" s="15">
        <v>0.3</v>
      </c>
      <c r="Q244" s="39"/>
      <c r="R244" s="14">
        <f>O244*Q244</f>
        <v>0</v>
      </c>
      <c r="S244" s="15">
        <f>P244*Q244</f>
        <v>0</v>
      </c>
      <c r="T244" s="16"/>
      <c r="U244" s="17"/>
      <c r="V244" s="18"/>
      <c r="X244" s="18"/>
    </row>
    <row r="245" spans="2:24" s="8" customFormat="1" ht="39.950000000000003" customHeight="1" x14ac:dyDescent="0.25"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 t="str">
        <f>SUBTOTAL(9,Q6:Q244)&amp;" UND"</f>
        <v>0 UND</v>
      </c>
      <c r="R245" s="30">
        <f>+SUBTOTAL(9,R9:R244)</f>
        <v>0</v>
      </c>
      <c r="S245" s="40">
        <f>SUBTOTAL(9,S9:S244)</f>
        <v>0</v>
      </c>
      <c r="T245" s="16"/>
      <c r="U245" s="17"/>
      <c r="V245" s="18"/>
      <c r="X245" s="18"/>
    </row>
    <row r="246" spans="2:24" s="8" customFormat="1" ht="39.950000000000003" customHeight="1" x14ac:dyDescent="0.25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1"/>
      <c r="R246" s="1"/>
      <c r="S246" s="1"/>
      <c r="T246" s="16"/>
      <c r="U246" s="17"/>
      <c r="V246" s="18"/>
      <c r="X246" s="18"/>
    </row>
    <row r="247" spans="2:24" s="8" customFormat="1" ht="39.950000000000003" customHeight="1" x14ac:dyDescent="0.25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1"/>
      <c r="R247" s="1"/>
      <c r="S247" s="1"/>
      <c r="T247" s="16"/>
      <c r="U247" s="17"/>
      <c r="V247" s="18"/>
      <c r="X247" s="18"/>
    </row>
    <row r="248" spans="2:24" s="8" customFormat="1" ht="39.950000000000003" customHeight="1" x14ac:dyDescent="0.25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1"/>
      <c r="R248" s="1"/>
      <c r="S248" s="1"/>
      <c r="T248" s="16"/>
      <c r="U248" s="17"/>
      <c r="V248" s="18"/>
      <c r="X248" s="18"/>
    </row>
    <row r="249" spans="2:24" s="8" customFormat="1" ht="39.950000000000003" customHeight="1" x14ac:dyDescent="0.25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1"/>
      <c r="R249" s="1"/>
      <c r="S249" s="1"/>
      <c r="T249" s="16"/>
      <c r="V249" s="18"/>
      <c r="X249" s="18">
        <v>2.9901629999999999</v>
      </c>
    </row>
    <row r="250" spans="2:24" s="8" customFormat="1" ht="39.950000000000003" customHeight="1" x14ac:dyDescent="0.25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31"/>
      <c r="R250" s="1"/>
      <c r="S250" s="1"/>
      <c r="T250" s="16"/>
      <c r="V250" s="18"/>
      <c r="X250" s="18">
        <v>3.54</v>
      </c>
    </row>
    <row r="251" spans="2:24" s="8" customFormat="1" ht="39.950000000000003" customHeight="1" x14ac:dyDescent="0.25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1"/>
      <c r="R251" s="1"/>
      <c r="S251" s="1"/>
      <c r="T251" s="32"/>
      <c r="V251" s="18"/>
      <c r="X251" s="18"/>
    </row>
    <row r="252" spans="2:24" s="8" customFormat="1" ht="39.950000000000003" customHeight="1" x14ac:dyDescent="0.25">
      <c r="B252"/>
      <c r="C25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1"/>
      <c r="R252" s="1"/>
      <c r="S252" s="1"/>
      <c r="T252" s="32"/>
      <c r="V252" s="18"/>
      <c r="X252" s="18"/>
    </row>
    <row r="253" spans="2:24" ht="18" customHeight="1" x14ac:dyDescent="0.25"/>
  </sheetData>
  <sheetProtection sort="0" autoFilter="0"/>
  <autoFilter ref="E8:S244" xr:uid="{E297DB28-ADF1-47F5-B4C2-4156B3FED399}">
    <sortState xmlns:xlrd2="http://schemas.microsoft.com/office/spreadsheetml/2017/richdata2" ref="E9:S244">
      <sortCondition sortBy="cellColor" ref="G8:G244" dxfId="1"/>
    </sortState>
  </autoFilter>
  <mergeCells count="6">
    <mergeCell ref="B13:C17"/>
    <mergeCell ref="I2:P6"/>
    <mergeCell ref="B8:C8"/>
    <mergeCell ref="B9:C9"/>
    <mergeCell ref="B10:C10"/>
    <mergeCell ref="B11:C11"/>
  </mergeCells>
  <conditionalFormatting sqref="F8:F244">
    <cfRule type="duplicateValues" dxfId="34" priority="25"/>
    <cfRule type="duplicateValues" dxfId="33" priority="26"/>
    <cfRule type="duplicateValues" dxfId="32" priority="27"/>
  </conditionalFormatting>
  <conditionalFormatting sqref="F9:F244">
    <cfRule type="duplicateValues" dxfId="31" priority="28"/>
    <cfRule type="duplicateValues" dxfId="30" priority="29"/>
  </conditionalFormatting>
  <conditionalFormatting sqref="F245:F1048576 F2:F8">
    <cfRule type="duplicateValues" dxfId="29" priority="3"/>
  </conditionalFormatting>
  <conditionalFormatting sqref="F245:F1048576">
    <cfRule type="duplicateValues" dxfId="28" priority="2"/>
  </conditionalFormatting>
  <conditionalFormatting sqref="G9">
    <cfRule type="duplicateValues" dxfId="27" priority="17"/>
  </conditionalFormatting>
  <conditionalFormatting sqref="G14">
    <cfRule type="duplicateValues" dxfId="26" priority="4"/>
  </conditionalFormatting>
  <conditionalFormatting sqref="G15">
    <cfRule type="duplicateValues" dxfId="25" priority="5"/>
  </conditionalFormatting>
  <conditionalFormatting sqref="G16">
    <cfRule type="duplicateValues" dxfId="24" priority="6"/>
  </conditionalFormatting>
  <conditionalFormatting sqref="G17">
    <cfRule type="duplicateValues" dxfId="23" priority="15"/>
  </conditionalFormatting>
  <conditionalFormatting sqref="G20">
    <cfRule type="duplicateValues" dxfId="22" priority="7"/>
  </conditionalFormatting>
  <conditionalFormatting sqref="G23">
    <cfRule type="duplicateValues" dxfId="21" priority="8"/>
  </conditionalFormatting>
  <conditionalFormatting sqref="G24">
    <cfRule type="duplicateValues" dxfId="20" priority="9"/>
  </conditionalFormatting>
  <conditionalFormatting sqref="G33">
    <cfRule type="duplicateValues" dxfId="19" priority="10"/>
  </conditionalFormatting>
  <conditionalFormatting sqref="G34:G36 G18:G19 G21:G22 G25:G32 G10:G13">
    <cfRule type="duplicateValues" dxfId="18" priority="21"/>
  </conditionalFormatting>
  <conditionalFormatting sqref="G37">
    <cfRule type="duplicateValues" dxfId="17" priority="11"/>
  </conditionalFormatting>
  <conditionalFormatting sqref="G41">
    <cfRule type="duplicateValues" dxfId="16" priority="12"/>
  </conditionalFormatting>
  <conditionalFormatting sqref="G42:G46 G38:G40">
    <cfRule type="duplicateValues" dxfId="15" priority="22"/>
  </conditionalFormatting>
  <conditionalFormatting sqref="G47">
    <cfRule type="duplicateValues" dxfId="14" priority="16"/>
  </conditionalFormatting>
  <conditionalFormatting sqref="G48">
    <cfRule type="duplicateValues" dxfId="13" priority="13"/>
  </conditionalFormatting>
  <conditionalFormatting sqref="G49:G55">
    <cfRule type="duplicateValues" dxfId="12" priority="19"/>
  </conditionalFormatting>
  <conditionalFormatting sqref="G66:G70 G56:G62">
    <cfRule type="duplicateValues" dxfId="11" priority="18"/>
  </conditionalFormatting>
  <conditionalFormatting sqref="G77:G94 G71:G74">
    <cfRule type="duplicateValues" dxfId="10" priority="23"/>
  </conditionalFormatting>
  <conditionalFormatting sqref="G95">
    <cfRule type="duplicateValues" dxfId="9" priority="14"/>
  </conditionalFormatting>
  <conditionalFormatting sqref="G220:G224">
    <cfRule type="duplicateValues" dxfId="8" priority="1"/>
  </conditionalFormatting>
  <conditionalFormatting sqref="G225:G241">
    <cfRule type="duplicateValues" dxfId="7" priority="24"/>
  </conditionalFormatting>
  <conditionalFormatting sqref="G242:G244 G124:G219">
    <cfRule type="duplicateValues" dxfId="6" priority="20"/>
  </conditionalFormatting>
  <pageMargins left="0.7" right="0.7" top="0.75" bottom="0.75" header="0.3" footer="0.3"/>
  <pageSetup scale="2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TOMA DE 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DRT-Ventas</cp:lastModifiedBy>
  <dcterms:created xsi:type="dcterms:W3CDTF">2026-10-08T12:29:27Z</dcterms:created>
  <dcterms:modified xsi:type="dcterms:W3CDTF">2026-10-08T12:59:18Z</dcterms:modified>
</cp:coreProperties>
</file>